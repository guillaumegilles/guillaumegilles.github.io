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Data Description\TP9\"/>
    </mc:Choice>
  </mc:AlternateContent>
  <xr:revisionPtr revIDLastSave="0" documentId="13_ncr:1_{DBEAED4A-66DD-4C00-9406-F8BB04EE231A}" xr6:coauthVersionLast="47" xr6:coauthVersionMax="47" xr10:uidLastSave="{00000000-0000-0000-0000-000000000000}"/>
  <bookViews>
    <workbookView xWindow="-110" yWindow="-110" windowWidth="19420" windowHeight="10420" xr2:uid="{3A9066E3-D18A-40A1-88B2-7407763A2971}"/>
  </bookViews>
  <sheets>
    <sheet name="Semestre 1" sheetId="1" r:id="rId1"/>
    <sheet name="Semestr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7" i="2" l="1"/>
  <c r="G54" i="2"/>
  <c r="G26" i="2"/>
  <c r="G23" i="2"/>
  <c r="G17" i="2"/>
  <c r="G20" i="2"/>
  <c r="G35" i="1"/>
  <c r="G32" i="1"/>
  <c r="G17" i="1"/>
  <c r="G14" i="1"/>
  <c r="G18" i="1" l="1"/>
  <c r="G16" i="1"/>
  <c r="K17" i="1"/>
  <c r="M13" i="1"/>
  <c r="G12" i="1"/>
  <c r="G59" i="2"/>
  <c r="G58" i="2"/>
  <c r="G27" i="2"/>
  <c r="G60" i="2"/>
  <c r="G55" i="2"/>
  <c r="G50" i="2"/>
  <c r="G49" i="2"/>
  <c r="G48" i="2"/>
  <c r="G29" i="2"/>
  <c r="G24" i="2"/>
  <c r="G19" i="2"/>
  <c r="G18" i="2"/>
  <c r="I36" i="2"/>
  <c r="I37" i="2"/>
  <c r="I38" i="2"/>
  <c r="I39" i="2"/>
  <c r="I40" i="2"/>
  <c r="I35" i="2"/>
  <c r="I5" i="2"/>
  <c r="I6" i="2"/>
  <c r="I7" i="2"/>
  <c r="I8" i="2"/>
  <c r="I9" i="2"/>
  <c r="I4" i="2"/>
  <c r="G51" i="2"/>
  <c r="L35" i="2"/>
  <c r="K36" i="2"/>
  <c r="L36" i="2" s="1"/>
  <c r="K35" i="2"/>
  <c r="J36" i="2"/>
  <c r="J38" i="2"/>
  <c r="J39" i="2"/>
  <c r="J40" i="2"/>
  <c r="J35" i="2"/>
  <c r="J41" i="2" s="1"/>
  <c r="G41" i="2"/>
  <c r="J37" i="2" s="1"/>
  <c r="N36" i="2"/>
  <c r="N37" i="2"/>
  <c r="N38" i="2"/>
  <c r="N39" i="2"/>
  <c r="N40" i="2"/>
  <c r="N35" i="2"/>
  <c r="G52" i="2" s="1"/>
  <c r="G53" i="2" s="1"/>
  <c r="N5" i="2"/>
  <c r="N6" i="2"/>
  <c r="N7" i="2"/>
  <c r="N8" i="2"/>
  <c r="N9" i="2"/>
  <c r="N4" i="2"/>
  <c r="G21" i="2" s="1"/>
  <c r="G22" i="2" s="1"/>
  <c r="K4" i="2"/>
  <c r="L4" i="2" s="1"/>
  <c r="G10" i="2"/>
  <c r="J5" i="2" s="1"/>
  <c r="G25" i="2"/>
  <c r="G56" i="2"/>
  <c r="G28" i="2" l="1"/>
  <c r="K5" i="2"/>
  <c r="J9" i="2"/>
  <c r="J4" i="2"/>
  <c r="J8" i="2"/>
  <c r="J6" i="2"/>
  <c r="K37" i="2"/>
  <c r="J7" i="2"/>
  <c r="M36" i="1"/>
  <c r="K36" i="1"/>
  <c r="K35" i="1"/>
  <c r="M31" i="1"/>
  <c r="K31" i="1"/>
  <c r="K30" i="1"/>
  <c r="M18" i="1"/>
  <c r="K18" i="1"/>
  <c r="K13" i="1"/>
  <c r="K12" i="1"/>
  <c r="G37" i="1"/>
  <c r="G31" i="1"/>
  <c r="G30" i="1"/>
  <c r="I29" i="1"/>
  <c r="G29" i="1"/>
  <c r="G36" i="1"/>
  <c r="G38" i="1"/>
  <c r="G33" i="1"/>
  <c r="G28" i="1"/>
  <c r="G27" i="1"/>
  <c r="G26" i="1"/>
  <c r="G34" i="1"/>
  <c r="G25" i="1"/>
  <c r="G24" i="1"/>
  <c r="G20" i="1"/>
  <c r="G15" i="1"/>
  <c r="G13" i="1"/>
  <c r="G19" i="1" s="1"/>
  <c r="I11" i="1"/>
  <c r="G11" i="1"/>
  <c r="G10" i="1"/>
  <c r="G9" i="1"/>
  <c r="G8" i="1"/>
  <c r="G7" i="1"/>
  <c r="G6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K38" i="2" l="1"/>
  <c r="L37" i="2"/>
  <c r="J10" i="2"/>
  <c r="K6" i="2"/>
  <c r="L5" i="2"/>
  <c r="L6" i="2" l="1"/>
  <c r="K7" i="2"/>
  <c r="K39" i="2"/>
  <c r="L38" i="2"/>
  <c r="K40" i="2" l="1"/>
  <c r="L40" i="2" s="1"/>
  <c r="L39" i="2"/>
  <c r="K8" i="2"/>
  <c r="L7" i="2"/>
  <c r="K9" i="2" l="1"/>
  <c r="L9" i="2" s="1"/>
  <c r="L8" i="2"/>
</calcChain>
</file>

<file path=xl/sharedStrings.xml><?xml version="1.0" encoding="utf-8"?>
<sst xmlns="http://schemas.openxmlformats.org/spreadsheetml/2006/main" count="133" uniqueCount="43">
  <si>
    <t>Etudiant</t>
  </si>
  <si>
    <t>Note Examen Intermédiaire</t>
  </si>
  <si>
    <t xml:space="preserve">Note Contrôle Continu </t>
  </si>
  <si>
    <t xml:space="preserve">Table 1 : résumés - variable "note examen intermédaire" </t>
  </si>
  <si>
    <t>Maximum</t>
  </si>
  <si>
    <t xml:space="preserve">Minimum </t>
  </si>
  <si>
    <t xml:space="preserve">Premier quartile </t>
  </si>
  <si>
    <t>Médiane</t>
  </si>
  <si>
    <t xml:space="preserve">Troisième quartile </t>
  </si>
  <si>
    <t>Moyenne</t>
  </si>
  <si>
    <t xml:space="preserve">Variance </t>
  </si>
  <si>
    <t>Ecart-type</t>
  </si>
  <si>
    <t>Coefficient de variation</t>
  </si>
  <si>
    <t xml:space="preserve">Ecart interquartile </t>
  </si>
  <si>
    <t xml:space="preserve">Etendue </t>
  </si>
  <si>
    <t>Coefficient interquartile relatif</t>
  </si>
  <si>
    <t>Mode</t>
  </si>
  <si>
    <t>Coefficient de Pearson</t>
  </si>
  <si>
    <t>Coefficient de Yule et Kendall</t>
  </si>
  <si>
    <t xml:space="preserve">Table 2 : résumés - variable "note contrôle continue" </t>
  </si>
  <si>
    <t>&gt; 15%</t>
  </si>
  <si>
    <t>&lt; 0</t>
  </si>
  <si>
    <t>Nombre d'étudiants</t>
  </si>
  <si>
    <t>Table 1 : opérations - données associées à la variable "note examen intermédiaire"</t>
  </si>
  <si>
    <t>Moins de 5</t>
  </si>
  <si>
    <t>[5 ; 7[</t>
  </si>
  <si>
    <t>a_i</t>
  </si>
  <si>
    <t>f_i</t>
  </si>
  <si>
    <t>n_i^+</t>
  </si>
  <si>
    <t>f_i^+</t>
  </si>
  <si>
    <t>c_i</t>
  </si>
  <si>
    <t>(c_i)^2</t>
  </si>
  <si>
    <t>[7 ; 10[</t>
  </si>
  <si>
    <t>[10 ; 14[</t>
  </si>
  <si>
    <t>[14 ; 18[</t>
  </si>
  <si>
    <t>Plus de 18</t>
  </si>
  <si>
    <t>Total</t>
  </si>
  <si>
    <t>Note Contrôle Continu</t>
  </si>
  <si>
    <t>Table 2 : résumés - données associées à la variable "note examen intermédiaire"</t>
  </si>
  <si>
    <t>Table 3 : opérations - données associées à la variable "note contrôle continu"</t>
  </si>
  <si>
    <t>Table 4 : résumés - données associées à la variable "note contrôle continu"</t>
  </si>
  <si>
    <t>h_i</t>
  </si>
  <si>
    <t>&gt;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</si>
</sst>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color rgb="FFFF0000"/>
      <name val="Cambria"/>
      <family val="1"/>
    </font>
    <font>
      <sz val="11"/>
      <name val="Cambria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2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1" xfId="0" applyFont="1" applyFill="1" applyBorder="1"/>
    <xf numFmtId="0" fontId="3" fillId="4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0" fillId="2" borderId="1" xfId="1" applyNumberFormat="1" applyFont="1" applyFill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</xdr:colOff>
      <xdr:row>10</xdr:row>
      <xdr:rowOff>82550</xdr:rowOff>
    </xdr:from>
    <xdr:to>
      <xdr:col>7</xdr:col>
      <xdr:colOff>742950</xdr:colOff>
      <xdr:row>10</xdr:row>
      <xdr:rowOff>88900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B2D4A509-6701-4275-AC3B-41EDEE6DEA03}"/>
            </a:ext>
          </a:extLst>
        </xdr:cNvPr>
        <xdr:cNvCxnSpPr/>
      </xdr:nvCxnSpPr>
      <xdr:spPr>
        <a:xfrm flipV="1">
          <a:off x="10198100" y="1924050"/>
          <a:ext cx="692150" cy="63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28</xdr:row>
      <xdr:rowOff>101600</xdr:rowOff>
    </xdr:from>
    <xdr:to>
      <xdr:col>7</xdr:col>
      <xdr:colOff>730250</xdr:colOff>
      <xdr:row>28</xdr:row>
      <xdr:rowOff>107950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D0FDB77C-28CD-465D-B6DD-58D4170F2FD3}"/>
            </a:ext>
          </a:extLst>
        </xdr:cNvPr>
        <xdr:cNvCxnSpPr/>
      </xdr:nvCxnSpPr>
      <xdr:spPr>
        <a:xfrm flipV="1">
          <a:off x="10185400" y="5257800"/>
          <a:ext cx="692150" cy="63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63500</xdr:colOff>
      <xdr:row>11</xdr:row>
      <xdr:rowOff>114300</xdr:rowOff>
    </xdr:from>
    <xdr:to>
      <xdr:col>10</xdr:col>
      <xdr:colOff>0</xdr:colOff>
      <xdr:row>11</xdr:row>
      <xdr:rowOff>133350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ACD58A23-75E7-4704-A4FC-F7D02DFF1B6E}"/>
            </a:ext>
          </a:extLst>
        </xdr:cNvPr>
        <xdr:cNvCxnSpPr/>
      </xdr:nvCxnSpPr>
      <xdr:spPr>
        <a:xfrm flipV="1">
          <a:off x="10210800" y="2139950"/>
          <a:ext cx="2222500" cy="19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69850</xdr:colOff>
      <xdr:row>12</xdr:row>
      <xdr:rowOff>88900</xdr:rowOff>
    </xdr:from>
    <xdr:to>
      <xdr:col>9</xdr:col>
      <xdr:colOff>755650</xdr:colOff>
      <xdr:row>16</xdr:row>
      <xdr:rowOff>31750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1067045E-D306-422D-8CF0-17725A1046F4}"/>
            </a:ext>
          </a:extLst>
        </xdr:cNvPr>
        <xdr:cNvCxnSpPr/>
      </xdr:nvCxnSpPr>
      <xdr:spPr>
        <a:xfrm>
          <a:off x="10217150" y="2298700"/>
          <a:ext cx="2209800" cy="679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29</xdr:row>
      <xdr:rowOff>88900</xdr:rowOff>
    </xdr:from>
    <xdr:to>
      <xdr:col>9</xdr:col>
      <xdr:colOff>704850</xdr:colOff>
      <xdr:row>29</xdr:row>
      <xdr:rowOff>107950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6F0A4E3F-5462-4EC5-AF37-5413DACBCE5C}"/>
            </a:ext>
          </a:extLst>
        </xdr:cNvPr>
        <xdr:cNvCxnSpPr/>
      </xdr:nvCxnSpPr>
      <xdr:spPr>
        <a:xfrm flipV="1">
          <a:off x="10153650" y="5429250"/>
          <a:ext cx="2222500" cy="19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30</xdr:row>
      <xdr:rowOff>63500</xdr:rowOff>
    </xdr:from>
    <xdr:to>
      <xdr:col>9</xdr:col>
      <xdr:colOff>692150</xdr:colOff>
      <xdr:row>34</xdr:row>
      <xdr:rowOff>6350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06DF73E1-7DB4-4402-8C3D-9CC0A69D1A16}"/>
            </a:ext>
          </a:extLst>
        </xdr:cNvPr>
        <xdr:cNvCxnSpPr/>
      </xdr:nvCxnSpPr>
      <xdr:spPr>
        <a:xfrm>
          <a:off x="10153650" y="5588000"/>
          <a:ext cx="2209800" cy="679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2316-B488-4688-80D2-38F3A840738E}">
  <dimension ref="A1:M46"/>
  <sheetViews>
    <sheetView tabSelected="1" workbookViewId="0">
      <selection activeCell="B8" sqref="B8"/>
    </sheetView>
  </sheetViews>
  <sheetFormatPr baseColWidth="10" defaultRowHeight="14.5" x14ac:dyDescent="0.35"/>
  <cols>
    <col min="2" max="3" width="30.6328125" style="4" customWidth="1"/>
    <col min="6" max="6" width="31.6328125" customWidth="1"/>
    <col min="7" max="7" width="19.6328125" customWidth="1"/>
  </cols>
  <sheetData>
    <row r="1" spans="1:13" x14ac:dyDescent="0.35">
      <c r="A1" s="1" t="s">
        <v>0</v>
      </c>
      <c r="B1" s="2" t="s">
        <v>1</v>
      </c>
      <c r="C1" s="2" t="s">
        <v>2</v>
      </c>
    </row>
    <row r="2" spans="1:13" x14ac:dyDescent="0.35">
      <c r="A2" s="3">
        <v>1</v>
      </c>
      <c r="B2" s="4">
        <v>12</v>
      </c>
      <c r="C2" s="4">
        <v>12</v>
      </c>
    </row>
    <row r="3" spans="1:13" x14ac:dyDescent="0.35">
      <c r="A3" s="3">
        <f xml:space="preserve"> A2+1</f>
        <v>2</v>
      </c>
      <c r="B3" s="4">
        <v>11</v>
      </c>
      <c r="C3" s="4">
        <v>14</v>
      </c>
    </row>
    <row r="4" spans="1:13" x14ac:dyDescent="0.35">
      <c r="A4" s="3">
        <f t="shared" ref="A4:A46" si="0" xml:space="preserve"> A3+1</f>
        <v>3</v>
      </c>
      <c r="B4" s="4">
        <v>11</v>
      </c>
      <c r="C4" s="4">
        <v>10</v>
      </c>
      <c r="F4" s="1" t="s">
        <v>3</v>
      </c>
    </row>
    <row r="5" spans="1:13" x14ac:dyDescent="0.35">
      <c r="A5" s="3">
        <f t="shared" si="0"/>
        <v>4</v>
      </c>
      <c r="B5" s="4">
        <v>9</v>
      </c>
      <c r="C5" s="4">
        <v>12</v>
      </c>
    </row>
    <row r="6" spans="1:13" x14ac:dyDescent="0.35">
      <c r="A6" s="3">
        <f t="shared" si="0"/>
        <v>5</v>
      </c>
      <c r="B6" s="4">
        <v>3</v>
      </c>
      <c r="C6" s="4">
        <v>6</v>
      </c>
      <c r="F6" s="5" t="s">
        <v>4</v>
      </c>
      <c r="G6" s="6">
        <f>MAX(B2:B46)</f>
        <v>18</v>
      </c>
    </row>
    <row r="7" spans="1:13" x14ac:dyDescent="0.35">
      <c r="A7" s="3">
        <f t="shared" si="0"/>
        <v>6</v>
      </c>
      <c r="B7" s="4">
        <v>5</v>
      </c>
      <c r="C7" s="4">
        <v>9</v>
      </c>
      <c r="F7" s="5" t="s">
        <v>5</v>
      </c>
      <c r="G7" s="6">
        <f>MIN(B2:B46)</f>
        <v>1</v>
      </c>
    </row>
    <row r="8" spans="1:13" x14ac:dyDescent="0.35">
      <c r="A8" s="3">
        <f t="shared" si="0"/>
        <v>7</v>
      </c>
      <c r="B8" s="4">
        <v>14</v>
      </c>
      <c r="C8" s="4">
        <v>15</v>
      </c>
      <c r="F8" s="5" t="s">
        <v>6</v>
      </c>
      <c r="G8" s="6">
        <f xml:space="preserve"> QUARTILE(B2:B46,1)</f>
        <v>8</v>
      </c>
    </row>
    <row r="9" spans="1:13" x14ac:dyDescent="0.35">
      <c r="A9" s="3">
        <f t="shared" si="0"/>
        <v>8</v>
      </c>
      <c r="B9" s="4">
        <v>12</v>
      </c>
      <c r="C9" s="4">
        <v>12</v>
      </c>
      <c r="F9" s="5" t="s">
        <v>7</v>
      </c>
      <c r="G9" s="6">
        <f xml:space="preserve"> QUARTILE(B2:B46,2)</f>
        <v>11</v>
      </c>
    </row>
    <row r="10" spans="1:13" x14ac:dyDescent="0.35">
      <c r="A10" s="3">
        <f t="shared" si="0"/>
        <v>9</v>
      </c>
      <c r="B10" s="4">
        <v>11</v>
      </c>
      <c r="C10" s="4">
        <v>13</v>
      </c>
      <c r="F10" s="5" t="s">
        <v>8</v>
      </c>
      <c r="G10" s="6">
        <f xml:space="preserve"> QUARTILE(B2:B46,3)</f>
        <v>13</v>
      </c>
    </row>
    <row r="11" spans="1:13" x14ac:dyDescent="0.35">
      <c r="A11" s="3">
        <f t="shared" si="0"/>
        <v>10</v>
      </c>
      <c r="B11" s="4">
        <v>13</v>
      </c>
      <c r="C11" s="4">
        <v>12</v>
      </c>
      <c r="F11" s="5" t="s">
        <v>9</v>
      </c>
      <c r="G11" s="6">
        <f xml:space="preserve"> SUM(B2:B46)/45</f>
        <v>10.199999999999999</v>
      </c>
      <c r="I11" s="7">
        <f xml:space="preserve"> AVERAGE(B2:B46)</f>
        <v>10.199999999999999</v>
      </c>
    </row>
    <row r="12" spans="1:13" x14ac:dyDescent="0.35">
      <c r="A12" s="3">
        <f t="shared" si="0"/>
        <v>11</v>
      </c>
      <c r="B12" s="4">
        <v>11</v>
      </c>
      <c r="C12" s="4">
        <v>10</v>
      </c>
      <c r="F12" s="5" t="s">
        <v>10</v>
      </c>
      <c r="G12" s="6">
        <f xml:space="preserve"> SUMSQ(B2:B46)/45 - G11^2</f>
        <v>16.426666666666677</v>
      </c>
      <c r="K12" s="7">
        <f xml:space="preserve"> VARP(B2:B46)</f>
        <v>16.426666666666666</v>
      </c>
    </row>
    <row r="13" spans="1:13" x14ac:dyDescent="0.35">
      <c r="A13" s="3">
        <f t="shared" si="0"/>
        <v>12</v>
      </c>
      <c r="B13" s="4">
        <v>8</v>
      </c>
      <c r="C13" s="4">
        <v>9</v>
      </c>
      <c r="F13" s="5" t="s">
        <v>11</v>
      </c>
      <c r="G13" s="6">
        <f xml:space="preserve"> SQRT(G12)</f>
        <v>4.052982440952178</v>
      </c>
      <c r="K13" s="8">
        <f>VAR(B2:B46)</f>
        <v>16.799999999999997</v>
      </c>
      <c r="M13" s="9">
        <f xml:space="preserve"> K12*(45/44)</f>
        <v>16.799999999999997</v>
      </c>
    </row>
    <row r="14" spans="1:13" x14ac:dyDescent="0.35">
      <c r="A14" s="3">
        <f t="shared" si="0"/>
        <v>13</v>
      </c>
      <c r="B14" s="4">
        <v>18</v>
      </c>
      <c r="C14" s="4">
        <v>19</v>
      </c>
      <c r="F14" s="5" t="s">
        <v>12</v>
      </c>
      <c r="G14" s="23">
        <f xml:space="preserve"> (G13/G11)</f>
        <v>0.39735121970119397</v>
      </c>
      <c r="H14" t="s">
        <v>20</v>
      </c>
    </row>
    <row r="15" spans="1:13" x14ac:dyDescent="0.35">
      <c r="A15" s="3">
        <f t="shared" si="0"/>
        <v>14</v>
      </c>
      <c r="B15" s="4">
        <v>9</v>
      </c>
      <c r="C15" s="4">
        <v>10</v>
      </c>
      <c r="F15" s="5" t="s">
        <v>13</v>
      </c>
      <c r="G15" s="6">
        <f xml:space="preserve"> G10 - G8</f>
        <v>5</v>
      </c>
    </row>
    <row r="16" spans="1:13" x14ac:dyDescent="0.35">
      <c r="A16" s="3">
        <f t="shared" si="0"/>
        <v>15</v>
      </c>
      <c r="B16" s="4">
        <v>10</v>
      </c>
      <c r="C16" s="4">
        <v>9</v>
      </c>
      <c r="F16" s="5" t="s">
        <v>14</v>
      </c>
      <c r="G16" s="6">
        <f xml:space="preserve"> G6 - G7</f>
        <v>17</v>
      </c>
    </row>
    <row r="17" spans="1:13" x14ac:dyDescent="0.35">
      <c r="A17" s="3">
        <f t="shared" si="0"/>
        <v>16</v>
      </c>
      <c r="B17" s="4">
        <v>11</v>
      </c>
      <c r="C17" s="4">
        <v>12</v>
      </c>
      <c r="F17" s="5" t="s">
        <v>15</v>
      </c>
      <c r="G17" s="23">
        <f xml:space="preserve"> (G15/G9)</f>
        <v>0.45454545454545453</v>
      </c>
      <c r="H17" t="s">
        <v>20</v>
      </c>
      <c r="K17" s="7">
        <f xml:space="preserve"> STDEVP(B2:B46)</f>
        <v>4.0529824409521771</v>
      </c>
    </row>
    <row r="18" spans="1:13" x14ac:dyDescent="0.35">
      <c r="A18" s="3">
        <f t="shared" si="0"/>
        <v>17</v>
      </c>
      <c r="B18" s="4">
        <v>12</v>
      </c>
      <c r="C18" s="4">
        <v>13</v>
      </c>
      <c r="F18" s="5" t="s">
        <v>16</v>
      </c>
      <c r="G18" s="6">
        <f xml:space="preserve"> MODE(B2:B46)</f>
        <v>11</v>
      </c>
      <c r="K18" s="8">
        <f>STDEV(B2:B46)</f>
        <v>4.0987803063838388</v>
      </c>
      <c r="M18" s="9">
        <f xml:space="preserve"> K17*SQRT(45/44)</f>
        <v>4.0987803063838397</v>
      </c>
    </row>
    <row r="19" spans="1:13" x14ac:dyDescent="0.35">
      <c r="A19" s="3">
        <f t="shared" si="0"/>
        <v>18</v>
      </c>
      <c r="B19" s="4">
        <v>3</v>
      </c>
      <c r="C19" s="4">
        <v>5</v>
      </c>
      <c r="F19" s="5" t="s">
        <v>17</v>
      </c>
      <c r="G19" s="6">
        <f xml:space="preserve"> (G11 - G18)/G13</f>
        <v>-0.19738550848793082</v>
      </c>
      <c r="H19" t="s">
        <v>21</v>
      </c>
    </row>
    <row r="20" spans="1:13" x14ac:dyDescent="0.35">
      <c r="A20" s="3">
        <f t="shared" si="0"/>
        <v>19</v>
      </c>
      <c r="B20" s="4">
        <v>1</v>
      </c>
      <c r="C20" s="4">
        <v>5</v>
      </c>
      <c r="F20" s="5" t="s">
        <v>18</v>
      </c>
      <c r="G20" s="6">
        <f xml:space="preserve"> ((G10 - G9) -(G9 - G8))/G15</f>
        <v>-0.2</v>
      </c>
      <c r="H20" t="s">
        <v>21</v>
      </c>
    </row>
    <row r="21" spans="1:13" x14ac:dyDescent="0.35">
      <c r="A21" s="3">
        <f t="shared" si="0"/>
        <v>20</v>
      </c>
      <c r="B21" s="4">
        <v>2</v>
      </c>
      <c r="C21" s="4">
        <v>9</v>
      </c>
    </row>
    <row r="22" spans="1:13" x14ac:dyDescent="0.35">
      <c r="A22" s="3">
        <f t="shared" si="0"/>
        <v>21</v>
      </c>
      <c r="B22" s="4">
        <v>5</v>
      </c>
      <c r="C22" s="4">
        <v>13</v>
      </c>
      <c r="F22" s="1" t="s">
        <v>19</v>
      </c>
    </row>
    <row r="23" spans="1:13" x14ac:dyDescent="0.35">
      <c r="A23" s="3">
        <f t="shared" si="0"/>
        <v>22</v>
      </c>
      <c r="B23" s="4">
        <v>6</v>
      </c>
      <c r="C23" s="4">
        <v>12</v>
      </c>
    </row>
    <row r="24" spans="1:13" x14ac:dyDescent="0.35">
      <c r="A24" s="3">
        <f t="shared" si="0"/>
        <v>23</v>
      </c>
      <c r="B24" s="4">
        <v>10</v>
      </c>
      <c r="C24" s="4">
        <v>10</v>
      </c>
      <c r="F24" s="5" t="s">
        <v>4</v>
      </c>
      <c r="G24" s="6">
        <f xml:space="preserve"> MAX(C2:C46)</f>
        <v>19</v>
      </c>
    </row>
    <row r="25" spans="1:13" x14ac:dyDescent="0.35">
      <c r="A25" s="3">
        <f t="shared" si="0"/>
        <v>24</v>
      </c>
      <c r="B25" s="4">
        <v>13</v>
      </c>
      <c r="C25" s="4">
        <v>12</v>
      </c>
      <c r="F25" s="5" t="s">
        <v>5</v>
      </c>
      <c r="G25" s="6">
        <f xml:space="preserve"> MIN(C2:C46)</f>
        <v>5</v>
      </c>
    </row>
    <row r="26" spans="1:13" x14ac:dyDescent="0.35">
      <c r="A26" s="3">
        <f t="shared" si="0"/>
        <v>25</v>
      </c>
      <c r="B26" s="4">
        <v>18</v>
      </c>
      <c r="C26" s="4">
        <v>17</v>
      </c>
      <c r="F26" s="5" t="s">
        <v>6</v>
      </c>
      <c r="G26" s="6">
        <f xml:space="preserve"> QUARTILE(C2:C46,1)</f>
        <v>10</v>
      </c>
    </row>
    <row r="27" spans="1:13" x14ac:dyDescent="0.35">
      <c r="A27" s="3">
        <f xml:space="preserve"> A26+1</f>
        <v>26</v>
      </c>
      <c r="B27" s="4">
        <v>12</v>
      </c>
      <c r="C27" s="4">
        <v>12</v>
      </c>
      <c r="F27" s="5" t="s">
        <v>7</v>
      </c>
      <c r="G27" s="6">
        <f>QUARTILE(C2:C46,2)</f>
        <v>12</v>
      </c>
    </row>
    <row r="28" spans="1:13" x14ac:dyDescent="0.35">
      <c r="A28" s="3">
        <f t="shared" si="0"/>
        <v>27</v>
      </c>
      <c r="B28" s="4">
        <v>11</v>
      </c>
      <c r="C28" s="4">
        <v>11</v>
      </c>
      <c r="F28" s="5" t="s">
        <v>8</v>
      </c>
      <c r="G28" s="6">
        <f>QUARTILE(C2:C46,3)</f>
        <v>13</v>
      </c>
    </row>
    <row r="29" spans="1:13" x14ac:dyDescent="0.35">
      <c r="A29" s="3">
        <f t="shared" si="0"/>
        <v>28</v>
      </c>
      <c r="B29" s="4">
        <v>10</v>
      </c>
      <c r="C29" s="4">
        <v>14</v>
      </c>
      <c r="F29" s="5" t="s">
        <v>9</v>
      </c>
      <c r="G29" s="6">
        <f xml:space="preserve"> SUM(C2:C46)/45</f>
        <v>11.755555555555556</v>
      </c>
      <c r="I29" s="7">
        <f>AVERAGE(C2:C46)</f>
        <v>11.755555555555556</v>
      </c>
    </row>
    <row r="30" spans="1:13" x14ac:dyDescent="0.35">
      <c r="A30" s="3">
        <f t="shared" si="0"/>
        <v>29</v>
      </c>
      <c r="B30" s="4">
        <v>13</v>
      </c>
      <c r="C30" s="4">
        <v>12</v>
      </c>
      <c r="F30" s="5" t="s">
        <v>10</v>
      </c>
      <c r="G30" s="6">
        <f xml:space="preserve"> SUMSQ(C2:C46)/45 - G29^2</f>
        <v>8.8513580246913364</v>
      </c>
      <c r="K30" s="7">
        <f xml:space="preserve"> VARP(C2:C46)</f>
        <v>8.8513580246913577</v>
      </c>
    </row>
    <row r="31" spans="1:13" x14ac:dyDescent="0.35">
      <c r="A31" s="3">
        <f t="shared" si="0"/>
        <v>30</v>
      </c>
      <c r="B31" s="4">
        <v>16</v>
      </c>
      <c r="C31" s="4">
        <v>17</v>
      </c>
      <c r="F31" s="5" t="s">
        <v>11</v>
      </c>
      <c r="G31" s="6">
        <f xml:space="preserve"> SQRT(G30)</f>
        <v>2.975123194876363</v>
      </c>
      <c r="K31" s="8">
        <f xml:space="preserve"> VAR(C2:C46)</f>
        <v>9.0525252525252533</v>
      </c>
      <c r="M31" s="9">
        <f xml:space="preserve"> K30*(45/44)</f>
        <v>9.0525252525252515</v>
      </c>
    </row>
    <row r="32" spans="1:13" x14ac:dyDescent="0.35">
      <c r="A32" s="3">
        <f t="shared" si="0"/>
        <v>31</v>
      </c>
      <c r="B32" s="4">
        <v>13</v>
      </c>
      <c r="C32" s="4">
        <v>16</v>
      </c>
      <c r="F32" s="5" t="s">
        <v>12</v>
      </c>
      <c r="G32" s="23">
        <f xml:space="preserve"> (G31/G29)</f>
        <v>0.25308231336377379</v>
      </c>
      <c r="H32" t="s">
        <v>20</v>
      </c>
    </row>
    <row r="33" spans="1:13" x14ac:dyDescent="0.35">
      <c r="A33" s="3">
        <f t="shared" si="0"/>
        <v>32</v>
      </c>
      <c r="B33" s="4">
        <v>15</v>
      </c>
      <c r="C33" s="4">
        <v>17</v>
      </c>
      <c r="F33" s="5" t="s">
        <v>13</v>
      </c>
      <c r="G33" s="6">
        <f xml:space="preserve"> G28 - G26</f>
        <v>3</v>
      </c>
    </row>
    <row r="34" spans="1:13" x14ac:dyDescent="0.35">
      <c r="A34" s="3">
        <f t="shared" si="0"/>
        <v>33</v>
      </c>
      <c r="B34" s="4">
        <v>5</v>
      </c>
      <c r="C34" s="4">
        <v>10</v>
      </c>
      <c r="F34" s="5" t="s">
        <v>14</v>
      </c>
      <c r="G34" s="6">
        <f xml:space="preserve"> G24 -G25</f>
        <v>14</v>
      </c>
    </row>
    <row r="35" spans="1:13" x14ac:dyDescent="0.35">
      <c r="A35" s="3">
        <f t="shared" si="0"/>
        <v>34</v>
      </c>
      <c r="B35" s="4">
        <v>4</v>
      </c>
      <c r="C35" s="4">
        <v>9</v>
      </c>
      <c r="F35" s="5" t="s">
        <v>15</v>
      </c>
      <c r="G35" s="23">
        <f xml:space="preserve"> (G33/G27)</f>
        <v>0.25</v>
      </c>
      <c r="H35" t="s">
        <v>20</v>
      </c>
      <c r="K35" s="7">
        <f xml:space="preserve"> STDEVP(C2:C46)</f>
        <v>2.9751231948763666</v>
      </c>
    </row>
    <row r="36" spans="1:13" x14ac:dyDescent="0.35">
      <c r="A36" s="3">
        <f t="shared" si="0"/>
        <v>35</v>
      </c>
      <c r="B36" s="4">
        <v>12</v>
      </c>
      <c r="C36" s="4">
        <v>11</v>
      </c>
      <c r="F36" s="5" t="s">
        <v>16</v>
      </c>
      <c r="G36" s="6">
        <f xml:space="preserve"> MODE(C2:C46)</f>
        <v>12</v>
      </c>
      <c r="K36" s="8">
        <f xml:space="preserve"> STDEV(C2:C46)</f>
        <v>3.0087414731952715</v>
      </c>
      <c r="M36" s="9">
        <f xml:space="preserve"> K35*SQRT(45/44)</f>
        <v>3.0087414731952715</v>
      </c>
    </row>
    <row r="37" spans="1:13" x14ac:dyDescent="0.35">
      <c r="A37" s="3">
        <f t="shared" si="0"/>
        <v>36</v>
      </c>
      <c r="B37" s="4">
        <v>15</v>
      </c>
      <c r="C37" s="4">
        <v>15</v>
      </c>
      <c r="F37" s="5" t="s">
        <v>17</v>
      </c>
      <c r="G37" s="6">
        <f xml:space="preserve"> (G29 - G36)/G31</f>
        <v>-8.216279744832615E-2</v>
      </c>
      <c r="H37" t="s">
        <v>21</v>
      </c>
    </row>
    <row r="38" spans="1:13" x14ac:dyDescent="0.35">
      <c r="A38" s="3">
        <f t="shared" si="0"/>
        <v>37</v>
      </c>
      <c r="B38" s="4">
        <v>13</v>
      </c>
      <c r="C38" s="4">
        <v>14</v>
      </c>
      <c r="F38" s="5" t="s">
        <v>18</v>
      </c>
      <c r="G38" s="6">
        <f>((G28-G27)-(G27-G26))/G33</f>
        <v>-0.33333333333333331</v>
      </c>
      <c r="H38" t="s">
        <v>21</v>
      </c>
    </row>
    <row r="39" spans="1:13" x14ac:dyDescent="0.35">
      <c r="A39" s="3">
        <f t="shared" si="0"/>
        <v>38</v>
      </c>
      <c r="B39" s="4">
        <v>12</v>
      </c>
      <c r="C39" s="4">
        <v>13</v>
      </c>
    </row>
    <row r="40" spans="1:13" x14ac:dyDescent="0.35">
      <c r="A40" s="3">
        <f t="shared" si="0"/>
        <v>39</v>
      </c>
      <c r="B40" s="4">
        <v>13</v>
      </c>
      <c r="C40" s="4">
        <v>10</v>
      </c>
    </row>
    <row r="41" spans="1:13" x14ac:dyDescent="0.35">
      <c r="A41" s="3">
        <f t="shared" si="0"/>
        <v>40</v>
      </c>
      <c r="B41" s="4">
        <v>6</v>
      </c>
      <c r="C41" s="4">
        <v>10</v>
      </c>
    </row>
    <row r="42" spans="1:13" x14ac:dyDescent="0.35">
      <c r="A42" s="3">
        <f t="shared" si="0"/>
        <v>41</v>
      </c>
      <c r="B42" s="4">
        <v>8</v>
      </c>
      <c r="C42" s="4">
        <v>9</v>
      </c>
    </row>
    <row r="43" spans="1:13" x14ac:dyDescent="0.35">
      <c r="A43" s="3">
        <f t="shared" si="0"/>
        <v>42</v>
      </c>
      <c r="B43" s="4">
        <v>9</v>
      </c>
      <c r="C43" s="4">
        <v>10</v>
      </c>
    </row>
    <row r="44" spans="1:13" x14ac:dyDescent="0.35">
      <c r="A44" s="3">
        <f t="shared" si="0"/>
        <v>43</v>
      </c>
      <c r="B44" s="4">
        <v>11</v>
      </c>
      <c r="C44" s="4">
        <v>14</v>
      </c>
    </row>
    <row r="45" spans="1:13" x14ac:dyDescent="0.35">
      <c r="A45" s="3">
        <f t="shared" si="0"/>
        <v>44</v>
      </c>
      <c r="B45" s="4">
        <v>8</v>
      </c>
      <c r="C45" s="4">
        <v>12</v>
      </c>
    </row>
    <row r="46" spans="1:13" x14ac:dyDescent="0.35">
      <c r="A46" s="3">
        <f t="shared" si="0"/>
        <v>45</v>
      </c>
      <c r="B46" s="4">
        <v>15</v>
      </c>
      <c r="C46" s="4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B227-AA8D-41AA-A953-B671D1E98B95}">
  <dimension ref="A1:N60"/>
  <sheetViews>
    <sheetView workbookViewId="0">
      <selection activeCell="C51" sqref="C51"/>
    </sheetView>
  </sheetViews>
  <sheetFormatPr baseColWidth="10" defaultRowHeight="14.5" x14ac:dyDescent="0.35"/>
  <cols>
    <col min="1" max="1" width="27.6328125" customWidth="1"/>
    <col min="2" max="2" width="22.6328125" customWidth="1"/>
    <col min="6" max="6" width="30.6328125" customWidth="1"/>
    <col min="7" max="7" width="22.6328125" customWidth="1"/>
  </cols>
  <sheetData>
    <row r="1" spans="1:14" x14ac:dyDescent="0.35">
      <c r="A1" s="10" t="s">
        <v>1</v>
      </c>
      <c r="B1" s="5" t="s">
        <v>22</v>
      </c>
      <c r="F1" s="1" t="s">
        <v>23</v>
      </c>
    </row>
    <row r="2" spans="1:14" x14ac:dyDescent="0.35">
      <c r="A2" s="11" t="s">
        <v>24</v>
      </c>
      <c r="B2" s="12">
        <v>7</v>
      </c>
    </row>
    <row r="3" spans="1:14" x14ac:dyDescent="0.35">
      <c r="A3" s="11" t="s">
        <v>25</v>
      </c>
      <c r="B3" s="12">
        <v>8</v>
      </c>
      <c r="F3" s="10" t="s">
        <v>1</v>
      </c>
      <c r="G3" s="13" t="s">
        <v>22</v>
      </c>
      <c r="H3" s="13" t="s">
        <v>26</v>
      </c>
      <c r="I3" s="13" t="s">
        <v>41</v>
      </c>
      <c r="J3" s="13" t="s">
        <v>27</v>
      </c>
      <c r="K3" s="13" t="s">
        <v>28</v>
      </c>
      <c r="L3" s="13" t="s">
        <v>29</v>
      </c>
      <c r="M3" s="13" t="s">
        <v>30</v>
      </c>
      <c r="N3" s="13" t="s">
        <v>31</v>
      </c>
    </row>
    <row r="4" spans="1:14" x14ac:dyDescent="0.35">
      <c r="A4" s="11" t="s">
        <v>32</v>
      </c>
      <c r="B4" s="12">
        <v>6</v>
      </c>
      <c r="F4" s="11" t="s">
        <v>24</v>
      </c>
      <c r="G4" s="14">
        <v>7</v>
      </c>
      <c r="H4" s="21">
        <v>2</v>
      </c>
      <c r="I4" s="21">
        <f>G4/H4</f>
        <v>3.5</v>
      </c>
      <c r="J4" s="14">
        <f xml:space="preserve"> G4/$G$10</f>
        <v>0.15555555555555556</v>
      </c>
      <c r="K4" s="14">
        <f>G4</f>
        <v>7</v>
      </c>
      <c r="L4" s="14">
        <f>K4/$G$10</f>
        <v>0.15555555555555556</v>
      </c>
      <c r="M4" s="21">
        <v>4</v>
      </c>
      <c r="N4" s="21">
        <f>M4^2</f>
        <v>16</v>
      </c>
    </row>
    <row r="5" spans="1:14" x14ac:dyDescent="0.35">
      <c r="A5" s="11" t="s">
        <v>33</v>
      </c>
      <c r="B5" s="12">
        <v>12</v>
      </c>
      <c r="F5" s="11" t="s">
        <v>25</v>
      </c>
      <c r="G5" s="14">
        <v>8</v>
      </c>
      <c r="H5" s="14">
        <v>2</v>
      </c>
      <c r="I5" s="22">
        <f t="shared" ref="I5:I9" si="0">G5/H5</f>
        <v>4</v>
      </c>
      <c r="J5" s="14">
        <f t="shared" ref="J5:J9" si="1" xml:space="preserve"> G5/$G$10</f>
        <v>0.17777777777777778</v>
      </c>
      <c r="K5" s="14">
        <f>G5+K4</f>
        <v>15</v>
      </c>
      <c r="L5" s="14">
        <f t="shared" ref="L5:L9" si="2">K5/$G$10</f>
        <v>0.33333333333333331</v>
      </c>
      <c r="M5" s="14">
        <v>6</v>
      </c>
      <c r="N5" s="14">
        <f t="shared" ref="N5:N9" si="3">M5^2</f>
        <v>36</v>
      </c>
    </row>
    <row r="6" spans="1:14" x14ac:dyDescent="0.35">
      <c r="A6" s="11" t="s">
        <v>34</v>
      </c>
      <c r="B6" s="12">
        <v>9</v>
      </c>
      <c r="F6" s="11" t="s">
        <v>32</v>
      </c>
      <c r="G6" s="14">
        <v>6</v>
      </c>
      <c r="H6" s="14">
        <v>3</v>
      </c>
      <c r="I6" s="22">
        <f t="shared" si="0"/>
        <v>2</v>
      </c>
      <c r="J6" s="14">
        <f t="shared" si="1"/>
        <v>0.13333333333333333</v>
      </c>
      <c r="K6" s="14">
        <f t="shared" ref="K6:K9" si="4">G6+K5</f>
        <v>21</v>
      </c>
      <c r="L6" s="14">
        <f t="shared" si="2"/>
        <v>0.46666666666666667</v>
      </c>
      <c r="M6" s="14">
        <v>8.5</v>
      </c>
      <c r="N6" s="14">
        <f t="shared" si="3"/>
        <v>72.25</v>
      </c>
    </row>
    <row r="7" spans="1:14" x14ac:dyDescent="0.35">
      <c r="A7" s="11" t="s">
        <v>35</v>
      </c>
      <c r="B7" s="12">
        <v>3</v>
      </c>
      <c r="F7" s="11" t="s">
        <v>33</v>
      </c>
      <c r="G7" s="14">
        <v>12</v>
      </c>
      <c r="H7" s="14">
        <v>4</v>
      </c>
      <c r="I7" s="22">
        <f t="shared" si="0"/>
        <v>3</v>
      </c>
      <c r="J7" s="14">
        <f t="shared" si="1"/>
        <v>0.26666666666666666</v>
      </c>
      <c r="K7" s="14">
        <f t="shared" si="4"/>
        <v>33</v>
      </c>
      <c r="L7" s="14">
        <f t="shared" si="2"/>
        <v>0.73333333333333328</v>
      </c>
      <c r="M7" s="14">
        <v>12</v>
      </c>
      <c r="N7" s="14">
        <f t="shared" si="3"/>
        <v>144</v>
      </c>
    </row>
    <row r="8" spans="1:14" x14ac:dyDescent="0.35">
      <c r="F8" s="11" t="s">
        <v>34</v>
      </c>
      <c r="G8" s="14">
        <v>9</v>
      </c>
      <c r="H8" s="14">
        <v>4</v>
      </c>
      <c r="I8" s="22">
        <f t="shared" si="0"/>
        <v>2.25</v>
      </c>
      <c r="J8" s="14">
        <f t="shared" si="1"/>
        <v>0.2</v>
      </c>
      <c r="K8" s="14">
        <f t="shared" si="4"/>
        <v>42</v>
      </c>
      <c r="L8" s="14">
        <f t="shared" si="2"/>
        <v>0.93333333333333335</v>
      </c>
      <c r="M8" s="14">
        <v>16</v>
      </c>
      <c r="N8" s="14">
        <f t="shared" si="3"/>
        <v>256</v>
      </c>
    </row>
    <row r="9" spans="1:14" x14ac:dyDescent="0.35">
      <c r="F9" s="11" t="s">
        <v>35</v>
      </c>
      <c r="G9" s="14">
        <v>3</v>
      </c>
      <c r="H9" s="21">
        <v>2</v>
      </c>
      <c r="I9" s="21">
        <f t="shared" si="0"/>
        <v>1.5</v>
      </c>
      <c r="J9" s="14">
        <f t="shared" si="1"/>
        <v>6.6666666666666666E-2</v>
      </c>
      <c r="K9" s="14">
        <f t="shared" si="4"/>
        <v>45</v>
      </c>
      <c r="L9" s="14">
        <f t="shared" si="2"/>
        <v>1</v>
      </c>
      <c r="M9" s="21">
        <v>19</v>
      </c>
      <c r="N9" s="21">
        <f t="shared" si="3"/>
        <v>361</v>
      </c>
    </row>
    <row r="10" spans="1:14" x14ac:dyDescent="0.35">
      <c r="F10" s="15" t="s">
        <v>36</v>
      </c>
      <c r="G10" s="16">
        <f xml:space="preserve"> SUM(G4:G9)</f>
        <v>45</v>
      </c>
      <c r="H10" s="17"/>
      <c r="I10" s="17"/>
      <c r="J10" s="17">
        <f xml:space="preserve"> SUM(J4:J9)</f>
        <v>1</v>
      </c>
      <c r="K10" s="17"/>
      <c r="L10" s="17"/>
      <c r="M10" s="17"/>
      <c r="N10" s="17"/>
    </row>
    <row r="11" spans="1:14" x14ac:dyDescent="0.35">
      <c r="A11" s="10" t="s">
        <v>37</v>
      </c>
      <c r="B11" s="5" t="s">
        <v>22</v>
      </c>
    </row>
    <row r="12" spans="1:14" x14ac:dyDescent="0.35">
      <c r="A12" s="11" t="s">
        <v>24</v>
      </c>
      <c r="B12" s="12">
        <v>5</v>
      </c>
    </row>
    <row r="13" spans="1:14" x14ac:dyDescent="0.35">
      <c r="A13" s="11" t="s">
        <v>25</v>
      </c>
      <c r="B13" s="12">
        <v>6</v>
      </c>
      <c r="F13" s="1" t="s">
        <v>38</v>
      </c>
    </row>
    <row r="14" spans="1:14" x14ac:dyDescent="0.35">
      <c r="A14" s="11" t="s">
        <v>32</v>
      </c>
      <c r="B14" s="12">
        <v>9</v>
      </c>
    </row>
    <row r="15" spans="1:14" x14ac:dyDescent="0.35">
      <c r="A15" s="11" t="s">
        <v>33</v>
      </c>
      <c r="B15" s="12">
        <v>13</v>
      </c>
      <c r="F15" s="5" t="s">
        <v>4</v>
      </c>
      <c r="G15" s="6">
        <v>20</v>
      </c>
    </row>
    <row r="16" spans="1:14" x14ac:dyDescent="0.35">
      <c r="A16" s="11" t="s">
        <v>34</v>
      </c>
      <c r="B16" s="12">
        <v>10</v>
      </c>
      <c r="F16" s="5" t="s">
        <v>5</v>
      </c>
      <c r="G16" s="6">
        <v>3</v>
      </c>
    </row>
    <row r="17" spans="1:8" x14ac:dyDescent="0.35">
      <c r="A17" s="11" t="s">
        <v>35</v>
      </c>
      <c r="B17" s="12">
        <v>2</v>
      </c>
      <c r="F17" s="5" t="s">
        <v>6</v>
      </c>
      <c r="G17" s="6">
        <f>5+H5*(0.25 - L4)/J5</f>
        <v>6.0625</v>
      </c>
    </row>
    <row r="18" spans="1:8" x14ac:dyDescent="0.35">
      <c r="F18" s="5" t="s">
        <v>7</v>
      </c>
      <c r="G18" s="6">
        <f xml:space="preserve"> 10 + H7*(0.5 - L6)/J7</f>
        <v>10.5</v>
      </c>
    </row>
    <row r="19" spans="1:8" x14ac:dyDescent="0.35">
      <c r="F19" s="5" t="s">
        <v>8</v>
      </c>
      <c r="G19" s="6">
        <f xml:space="preserve"> 14 + H8*(0.75 - L7)/J8</f>
        <v>14.333333333333334</v>
      </c>
    </row>
    <row r="20" spans="1:8" x14ac:dyDescent="0.35">
      <c r="F20" s="5" t="s">
        <v>9</v>
      </c>
      <c r="G20" s="6">
        <f xml:space="preserve"> SUMPRODUCT(G4:G9,M4:M9)/G10</f>
        <v>10.488888888888889</v>
      </c>
    </row>
    <row r="21" spans="1:8" x14ac:dyDescent="0.35">
      <c r="F21" s="5" t="s">
        <v>10</v>
      </c>
      <c r="G21" s="6">
        <f>SUMPRODUCT(G4:G9,N4:N9)/G10 - G20^2</f>
        <v>22.172098765432111</v>
      </c>
    </row>
    <row r="22" spans="1:8" x14ac:dyDescent="0.35">
      <c r="F22" s="5" t="s">
        <v>11</v>
      </c>
      <c r="G22" s="6">
        <f>SQRT(G21)</f>
        <v>4.7087258112393959</v>
      </c>
    </row>
    <row r="23" spans="1:8" x14ac:dyDescent="0.35">
      <c r="F23" s="5" t="s">
        <v>12</v>
      </c>
      <c r="G23" s="23">
        <f xml:space="preserve"> (G22/G20)</f>
        <v>0.44892513030884074</v>
      </c>
      <c r="H23" s="4" t="s">
        <v>20</v>
      </c>
    </row>
    <row r="24" spans="1:8" x14ac:dyDescent="0.35">
      <c r="F24" s="5" t="s">
        <v>13</v>
      </c>
      <c r="G24" s="6">
        <f xml:space="preserve"> G19 - G17</f>
        <v>8.2708333333333339</v>
      </c>
    </row>
    <row r="25" spans="1:8" x14ac:dyDescent="0.35">
      <c r="F25" s="5" t="s">
        <v>14</v>
      </c>
      <c r="G25" s="6">
        <f xml:space="preserve"> G15 - G16</f>
        <v>17</v>
      </c>
    </row>
    <row r="26" spans="1:8" x14ac:dyDescent="0.35">
      <c r="F26" s="5" t="s">
        <v>15</v>
      </c>
      <c r="G26" s="23">
        <f xml:space="preserve"> (G24/G18)</f>
        <v>0.78769841269841279</v>
      </c>
      <c r="H26" s="4" t="s">
        <v>20</v>
      </c>
    </row>
    <row r="27" spans="1:8" x14ac:dyDescent="0.35">
      <c r="F27" s="5" t="s">
        <v>16</v>
      </c>
      <c r="G27" s="6">
        <f xml:space="preserve"> 5 + H5*((I5-I4)/((I5-I4) + (I5-I6)))</f>
        <v>5.4</v>
      </c>
    </row>
    <row r="28" spans="1:8" x14ac:dyDescent="0.35">
      <c r="F28" s="5" t="s">
        <v>17</v>
      </c>
      <c r="G28" s="6">
        <f xml:space="preserve"> (G20 - G27)/G22</f>
        <v>1.0807358705707752</v>
      </c>
      <c r="H28" s="4" t="s">
        <v>42</v>
      </c>
    </row>
    <row r="29" spans="1:8" x14ac:dyDescent="0.35">
      <c r="F29" s="5" t="s">
        <v>18</v>
      </c>
      <c r="G29" s="6">
        <f>((G19-G18)-(G18-G17))/G24</f>
        <v>-7.3047858942065419E-2</v>
      </c>
      <c r="H29" s="4" t="s">
        <v>21</v>
      </c>
    </row>
    <row r="32" spans="1:8" x14ac:dyDescent="0.35">
      <c r="F32" s="1" t="s">
        <v>39</v>
      </c>
    </row>
    <row r="34" spans="6:14" x14ac:dyDescent="0.35">
      <c r="F34" s="10" t="s">
        <v>1</v>
      </c>
      <c r="G34" s="18" t="s">
        <v>22</v>
      </c>
      <c r="H34" s="13" t="s">
        <v>26</v>
      </c>
      <c r="I34" s="13" t="s">
        <v>41</v>
      </c>
      <c r="J34" s="13" t="s">
        <v>27</v>
      </c>
      <c r="K34" s="13" t="s">
        <v>28</v>
      </c>
      <c r="L34" s="13" t="s">
        <v>29</v>
      </c>
      <c r="M34" s="13" t="s">
        <v>30</v>
      </c>
      <c r="N34" s="13" t="s">
        <v>31</v>
      </c>
    </row>
    <row r="35" spans="6:14" x14ac:dyDescent="0.35">
      <c r="F35" s="11" t="s">
        <v>24</v>
      </c>
      <c r="G35" s="19">
        <v>5</v>
      </c>
      <c r="H35" s="21">
        <v>2</v>
      </c>
      <c r="I35" s="21">
        <f>G35/H35</f>
        <v>2.5</v>
      </c>
      <c r="J35" s="14">
        <f>G35/$G$41</f>
        <v>0.1111111111111111</v>
      </c>
      <c r="K35" s="14">
        <f>G35</f>
        <v>5</v>
      </c>
      <c r="L35" s="14">
        <f>K35/$G$41</f>
        <v>0.1111111111111111</v>
      </c>
      <c r="M35" s="21">
        <v>4</v>
      </c>
      <c r="N35" s="21">
        <f>M35^2</f>
        <v>16</v>
      </c>
    </row>
    <row r="36" spans="6:14" x14ac:dyDescent="0.35">
      <c r="F36" s="11" t="s">
        <v>25</v>
      </c>
      <c r="G36" s="19">
        <v>6</v>
      </c>
      <c r="H36" s="14">
        <v>2</v>
      </c>
      <c r="I36" s="22">
        <f t="shared" ref="I36:I40" si="5">G36/H36</f>
        <v>3</v>
      </c>
      <c r="J36" s="14">
        <f t="shared" ref="J36:J40" si="6">G36/$G$41</f>
        <v>0.13333333333333333</v>
      </c>
      <c r="K36" s="14">
        <f>K35+G36</f>
        <v>11</v>
      </c>
      <c r="L36" s="14">
        <f t="shared" ref="L36:L40" si="7">K36/$G$41</f>
        <v>0.24444444444444444</v>
      </c>
      <c r="M36" s="14">
        <v>6</v>
      </c>
      <c r="N36" s="14">
        <f t="shared" ref="N36:N40" si="8">M36^2</f>
        <v>36</v>
      </c>
    </row>
    <row r="37" spans="6:14" x14ac:dyDescent="0.35">
      <c r="F37" s="11" t="s">
        <v>32</v>
      </c>
      <c r="G37" s="19">
        <v>9</v>
      </c>
      <c r="H37" s="14">
        <v>3</v>
      </c>
      <c r="I37" s="22">
        <f t="shared" si="5"/>
        <v>3</v>
      </c>
      <c r="J37" s="14">
        <f t="shared" si="6"/>
        <v>0.2</v>
      </c>
      <c r="K37" s="14">
        <f t="shared" ref="K37:K40" si="9">K36+G37</f>
        <v>20</v>
      </c>
      <c r="L37" s="14">
        <f t="shared" si="7"/>
        <v>0.44444444444444442</v>
      </c>
      <c r="M37" s="14">
        <v>8.5</v>
      </c>
      <c r="N37" s="14">
        <f t="shared" si="8"/>
        <v>72.25</v>
      </c>
    </row>
    <row r="38" spans="6:14" x14ac:dyDescent="0.35">
      <c r="F38" s="11" t="s">
        <v>33</v>
      </c>
      <c r="G38" s="19">
        <v>13</v>
      </c>
      <c r="H38" s="14">
        <v>4</v>
      </c>
      <c r="I38" s="22">
        <f t="shared" si="5"/>
        <v>3.25</v>
      </c>
      <c r="J38" s="14">
        <f t="shared" si="6"/>
        <v>0.28888888888888886</v>
      </c>
      <c r="K38" s="14">
        <f t="shared" si="9"/>
        <v>33</v>
      </c>
      <c r="L38" s="14">
        <f t="shared" si="7"/>
        <v>0.73333333333333328</v>
      </c>
      <c r="M38" s="14">
        <v>12</v>
      </c>
      <c r="N38" s="14">
        <f t="shared" si="8"/>
        <v>144</v>
      </c>
    </row>
    <row r="39" spans="6:14" x14ac:dyDescent="0.35">
      <c r="F39" s="11" t="s">
        <v>34</v>
      </c>
      <c r="G39" s="19">
        <v>10</v>
      </c>
      <c r="H39" s="14">
        <v>4</v>
      </c>
      <c r="I39" s="22">
        <f t="shared" si="5"/>
        <v>2.5</v>
      </c>
      <c r="J39" s="14">
        <f t="shared" si="6"/>
        <v>0.22222222222222221</v>
      </c>
      <c r="K39" s="14">
        <f t="shared" si="9"/>
        <v>43</v>
      </c>
      <c r="L39" s="14">
        <f t="shared" si="7"/>
        <v>0.9555555555555556</v>
      </c>
      <c r="M39" s="14">
        <v>16</v>
      </c>
      <c r="N39" s="14">
        <f t="shared" si="8"/>
        <v>256</v>
      </c>
    </row>
    <row r="40" spans="6:14" x14ac:dyDescent="0.35">
      <c r="F40" s="11" t="s">
        <v>35</v>
      </c>
      <c r="G40" s="19">
        <v>2</v>
      </c>
      <c r="H40" s="21">
        <v>2</v>
      </c>
      <c r="I40" s="21">
        <f t="shared" si="5"/>
        <v>1</v>
      </c>
      <c r="J40" s="14">
        <f t="shared" si="6"/>
        <v>4.4444444444444446E-2</v>
      </c>
      <c r="K40" s="14">
        <f t="shared" si="9"/>
        <v>45</v>
      </c>
      <c r="L40" s="14">
        <f t="shared" si="7"/>
        <v>1</v>
      </c>
      <c r="M40" s="21">
        <v>19</v>
      </c>
      <c r="N40" s="21">
        <f t="shared" si="8"/>
        <v>361</v>
      </c>
    </row>
    <row r="41" spans="6:14" x14ac:dyDescent="0.35">
      <c r="F41" s="15" t="s">
        <v>36</v>
      </c>
      <c r="G41" s="20">
        <f xml:space="preserve"> SUM(G35:G40)</f>
        <v>45</v>
      </c>
      <c r="H41" s="17"/>
      <c r="I41" s="17"/>
      <c r="J41" s="17">
        <f>SUM(J35:J40)</f>
        <v>0.99999999999999989</v>
      </c>
      <c r="K41" s="17"/>
      <c r="L41" s="17"/>
      <c r="M41" s="17"/>
      <c r="N41" s="17"/>
    </row>
    <row r="44" spans="6:14" x14ac:dyDescent="0.35">
      <c r="F44" s="1" t="s">
        <v>40</v>
      </c>
    </row>
    <row r="46" spans="6:14" x14ac:dyDescent="0.35">
      <c r="F46" s="5" t="s">
        <v>4</v>
      </c>
      <c r="G46" s="6">
        <v>20</v>
      </c>
    </row>
    <row r="47" spans="6:14" x14ac:dyDescent="0.35">
      <c r="F47" s="5" t="s">
        <v>5</v>
      </c>
      <c r="G47" s="6">
        <v>3</v>
      </c>
    </row>
    <row r="48" spans="6:14" x14ac:dyDescent="0.35">
      <c r="F48" s="5" t="s">
        <v>6</v>
      </c>
      <c r="G48" s="6">
        <f xml:space="preserve"> 7 + H37*(0.25 - L36)/J37</f>
        <v>7.083333333333333</v>
      </c>
    </row>
    <row r="49" spans="6:8" x14ac:dyDescent="0.35">
      <c r="F49" s="5" t="s">
        <v>7</v>
      </c>
      <c r="G49" s="6">
        <f xml:space="preserve"> 10 + H38*(0.5 -L37)/J38</f>
        <v>10.76923076923077</v>
      </c>
    </row>
    <row r="50" spans="6:8" x14ac:dyDescent="0.35">
      <c r="F50" s="5" t="s">
        <v>8</v>
      </c>
      <c r="G50" s="6">
        <f xml:space="preserve"> 14 + H39*(0.75 -L38)/J39</f>
        <v>14.3</v>
      </c>
    </row>
    <row r="51" spans="6:8" x14ac:dyDescent="0.35">
      <c r="F51" s="5" t="s">
        <v>9</v>
      </c>
      <c r="G51" s="6">
        <f>SUMPRODUCT(G35:G40,M35:M40)/G41</f>
        <v>10.811111111111112</v>
      </c>
    </row>
    <row r="52" spans="6:8" x14ac:dyDescent="0.35">
      <c r="F52" s="5" t="s">
        <v>10</v>
      </c>
      <c r="G52" s="6">
        <f xml:space="preserve"> SUMPRODUCT(G35:G40,N35:N40)/G41 - G51^2</f>
        <v>18.680987654320958</v>
      </c>
    </row>
    <row r="53" spans="6:8" x14ac:dyDescent="0.35">
      <c r="F53" s="5" t="s">
        <v>11</v>
      </c>
      <c r="G53" s="6">
        <f xml:space="preserve"> SQRT(G52)</f>
        <v>4.3221508134632414</v>
      </c>
    </row>
    <row r="54" spans="6:8" x14ac:dyDescent="0.35">
      <c r="F54" s="5" t="s">
        <v>12</v>
      </c>
      <c r="G54" s="23">
        <f>(G53/G51)</f>
        <v>0.39978784502743236</v>
      </c>
      <c r="H54" s="4" t="s">
        <v>20</v>
      </c>
    </row>
    <row r="55" spans="6:8" x14ac:dyDescent="0.35">
      <c r="F55" s="5" t="s">
        <v>13</v>
      </c>
      <c r="G55" s="6">
        <f xml:space="preserve"> G50 - G48</f>
        <v>7.2166666666666677</v>
      </c>
    </row>
    <row r="56" spans="6:8" x14ac:dyDescent="0.35">
      <c r="F56" s="5" t="s">
        <v>14</v>
      </c>
      <c r="G56" s="6">
        <f xml:space="preserve"> G46 - G47</f>
        <v>17</v>
      </c>
    </row>
    <row r="57" spans="6:8" x14ac:dyDescent="0.35">
      <c r="F57" s="5" t="s">
        <v>15</v>
      </c>
      <c r="G57" s="23">
        <f>(G55/G49)</f>
        <v>0.67011904761904761</v>
      </c>
      <c r="H57" s="4" t="s">
        <v>20</v>
      </c>
    </row>
    <row r="58" spans="6:8" x14ac:dyDescent="0.35">
      <c r="F58" s="5" t="s">
        <v>16</v>
      </c>
      <c r="G58" s="6">
        <f xml:space="preserve"> 10 + H38*((I38-I37)/ ((I38 - I37)+(I38 - I39)))</f>
        <v>11</v>
      </c>
    </row>
    <row r="59" spans="6:8" x14ac:dyDescent="0.35">
      <c r="F59" s="5" t="s">
        <v>17</v>
      </c>
      <c r="G59" s="6">
        <f xml:space="preserve"> (G51 - G58)/G53</f>
        <v>-4.3702521508622659E-2</v>
      </c>
      <c r="H59" s="4" t="s">
        <v>21</v>
      </c>
    </row>
    <row r="60" spans="6:8" x14ac:dyDescent="0.35">
      <c r="F60" s="5" t="s">
        <v>18</v>
      </c>
      <c r="G60" s="6">
        <f>((G50-G49)-(G49-G48))/G55</f>
        <v>-2.1495825190975475E-2</v>
      </c>
      <c r="H60" s="4" t="s">
        <v>21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10" ma:contentTypeDescription="Crée un document." ma:contentTypeScope="" ma:versionID="8b39a76d656bab3315ca0d507e2424ab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2bdc5c3d47e3b1d7c6fe4abce7fb684c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8AD9FA-320D-48B3-A9D8-AE93EC247B7E}"/>
</file>

<file path=customXml/itemProps2.xml><?xml version="1.0" encoding="utf-8"?>
<ds:datastoreItem xmlns:ds="http://schemas.openxmlformats.org/officeDocument/2006/customXml" ds:itemID="{FAF51688-B191-4FCC-A794-1A5D01FC8661}"/>
</file>

<file path=customXml/itemProps3.xml><?xml version="1.0" encoding="utf-8"?>
<ds:datastoreItem xmlns:ds="http://schemas.openxmlformats.org/officeDocument/2006/customXml" ds:itemID="{1255975C-C4EF-428E-BA05-AA49771D33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Semestre 1</vt:lpstr>
      <vt:lpstr>Semestre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Léa HISLER-BAYLE</cp:lastModifiedBy>
  <dcterms:created xsi:type="dcterms:W3CDTF">2021-10-21T12:57:31Z</dcterms:created>
  <dcterms:modified xsi:type="dcterms:W3CDTF">2021-10-27T12:03:36Z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