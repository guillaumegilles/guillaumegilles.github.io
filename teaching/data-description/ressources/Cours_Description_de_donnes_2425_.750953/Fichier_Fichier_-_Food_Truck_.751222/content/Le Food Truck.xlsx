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codeName="ThisWorkbook" hidePivotFieldList="1" defaultThemeVersion="166925"/>
  <mc:AlternateContent xmlns:mc="http://schemas.openxmlformats.org/markup-compatibility/2006">
    <mc:Choice Requires="x15">
      <x15ac:absPath xmlns:x15ac="http://schemas.microsoft.com/office/spreadsheetml/2010/11/ac" url="C:\Users\lea_h\Documents\Formation\2 - ESSCA\Refonte Premier Cycle\Prise en main Excel\FR\"/>
    </mc:Choice>
  </mc:AlternateContent>
  <xr:revisionPtr revIDLastSave="0" documentId="13_ncr:1_{F8CF7474-6266-4CAF-A94A-E29D69CAF8DD}" xr6:coauthVersionLast="47" xr6:coauthVersionMax="47" xr10:uidLastSave="{00000000-0000-0000-0000-000000000000}"/>
  <bookViews>
    <workbookView xWindow="-110" yWindow="-110" windowWidth="19420" windowHeight="10420" tabRatio="864" xr2:uid="{E2727243-5814-477B-96E0-776C6A480DDD}"/>
  </bookViews>
  <sheets>
    <sheet name="Séance 1 - Onglet 1" sheetId="3" r:id="rId1"/>
    <sheet name="Séance 1 - Onglet 2" sheetId="1" r:id="rId2"/>
    <sheet name="Séance 2 - Onglet 1" sheetId="6" r:id="rId3"/>
    <sheet name="Séance 2 - Onglet 2" sheetId="5" r:id="rId4"/>
    <sheet name="Séance 3 - Onglet 1 Les Données" sheetId="4" r:id="rId5"/>
    <sheet name="Séance 3 - Onglet 2" sheetId="8" r:id="rId6"/>
  </sheets>
  <definedNames>
    <definedName name="tabmarche">'Séance 3 - Onglet 1 Les Données'!$H$5:$I$10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3" l="1"/>
  <c r="E2" i="3"/>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5" i="4"/>
  <c r="F6" i="4" l="1"/>
  <c r="F7" i="4"/>
  <c r="F8" i="4"/>
  <c r="F9" i="4"/>
  <c r="F10" i="4"/>
  <c r="F11" i="4"/>
  <c r="F12" i="4"/>
  <c r="F13" i="4"/>
  <c r="F14" i="4"/>
  <c r="F15" i="4"/>
  <c r="F16" i="4"/>
  <c r="F17" i="4"/>
  <c r="F18" i="4"/>
  <c r="F19" i="4"/>
  <c r="F20" i="4"/>
  <c r="F21" i="4"/>
  <c r="F22" i="4"/>
  <c r="F23" i="4"/>
  <c r="F24" i="4"/>
  <c r="F25" i="4"/>
  <c r="F26" i="4"/>
  <c r="F27" i="4"/>
  <c r="F28" i="4"/>
  <c r="F29" i="4"/>
  <c r="F5" i="4"/>
  <c r="A31" i="4"/>
  <c r="F31" i="4" s="1"/>
  <c r="A32" i="4"/>
  <c r="F32" i="4" s="1"/>
  <c r="A33" i="4"/>
  <c r="A58" i="4" s="1"/>
  <c r="F58" i="4" s="1"/>
  <c r="A34" i="4"/>
  <c r="F34" i="4" s="1"/>
  <c r="A35" i="4"/>
  <c r="A60" i="4" s="1"/>
  <c r="F60" i="4" s="1"/>
  <c r="A36" i="4"/>
  <c r="F36" i="4" s="1"/>
  <c r="A37" i="4"/>
  <c r="F37" i="4" s="1"/>
  <c r="A38" i="4"/>
  <c r="A63" i="4" s="1"/>
  <c r="F63" i="4" s="1"/>
  <c r="A39" i="4"/>
  <c r="F39" i="4" s="1"/>
  <c r="A40" i="4"/>
  <c r="A65" i="4" s="1"/>
  <c r="F65" i="4" s="1"/>
  <c r="A41" i="4"/>
  <c r="A66" i="4" s="1"/>
  <c r="F66" i="4" s="1"/>
  <c r="A42" i="4"/>
  <c r="F42" i="4" s="1"/>
  <c r="A43" i="4"/>
  <c r="A68" i="4" s="1"/>
  <c r="F68" i="4" s="1"/>
  <c r="A44" i="4"/>
  <c r="F44" i="4" s="1"/>
  <c r="A45" i="4"/>
  <c r="A70" i="4" s="1"/>
  <c r="F70" i="4" s="1"/>
  <c r="A46" i="4"/>
  <c r="F46" i="4" s="1"/>
  <c r="A47" i="4"/>
  <c r="F47" i="4" s="1"/>
  <c r="A48" i="4"/>
  <c r="A73" i="4" s="1"/>
  <c r="F73" i="4" s="1"/>
  <c r="A49" i="4"/>
  <c r="A74" i="4" s="1"/>
  <c r="F74" i="4" s="1"/>
  <c r="A50" i="4"/>
  <c r="F50" i="4" s="1"/>
  <c r="A51" i="4"/>
  <c r="A76" i="4" s="1"/>
  <c r="F76" i="4" s="1"/>
  <c r="A52" i="4"/>
  <c r="A77" i="4" s="1"/>
  <c r="F77" i="4" s="1"/>
  <c r="A53" i="4"/>
  <c r="A78" i="4" s="1"/>
  <c r="F78" i="4" s="1"/>
  <c r="A54" i="4"/>
  <c r="F54" i="4" s="1"/>
  <c r="A56" i="4"/>
  <c r="A81" i="4" s="1"/>
  <c r="F81" i="4" s="1"/>
  <c r="A57" i="4"/>
  <c r="F57" i="4" s="1"/>
  <c r="A62" i="4"/>
  <c r="F62" i="4" s="1"/>
  <c r="A79" i="4"/>
  <c r="F79" i="4" s="1"/>
  <c r="A30" i="4"/>
  <c r="F30" i="4" s="1"/>
  <c r="C14" i="5"/>
  <c r="C13" i="5"/>
  <c r="D1" i="5"/>
  <c r="A64" i="4" l="1"/>
  <c r="F64" i="4" s="1"/>
  <c r="F53" i="4"/>
  <c r="F45" i="4"/>
  <c r="A72" i="4"/>
  <c r="F72" i="4" s="1"/>
  <c r="F56" i="4"/>
  <c r="F48" i="4"/>
  <c r="F40" i="4"/>
  <c r="A71" i="4"/>
  <c r="F71" i="4" s="1"/>
  <c r="A59" i="4"/>
  <c r="F59" i="4" s="1"/>
  <c r="F38" i="4"/>
  <c r="A69" i="4"/>
  <c r="F69" i="4" s="1"/>
  <c r="A61" i="4"/>
  <c r="F61" i="4" s="1"/>
  <c r="A67" i="4"/>
  <c r="F67" i="4" s="1"/>
  <c r="F52" i="4"/>
  <c r="A55" i="4"/>
  <c r="F51" i="4"/>
  <c r="F43" i="4"/>
  <c r="F35" i="4"/>
  <c r="A75" i="4"/>
  <c r="F75" i="4" s="1"/>
  <c r="F49" i="4"/>
  <c r="F41" i="4"/>
  <c r="F33" i="4"/>
  <c r="A80" i="4" l="1"/>
  <c r="F80" i="4" s="1"/>
  <c r="F5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tc={C497944F-8260-49C8-8D80-87BBBA0A7995}</author>
    <author>tc={5CE9F8F1-DC50-4D87-A8EF-890AFD64F657}</author>
    <author>tc={EC8646A8-57A2-492A-8E06-CCF996D246AA}</author>
    <author>tc={ECD8B370-9C8C-48F3-B110-582F91B6E122}</author>
    <author>tc={74214802-014E-4E6F-9E29-B6380EF38567}</author>
    <author>tc={8AA4CCB3-C3CA-4FCC-8DC6-59FC0BA7FF1B}</author>
    <author>tc={F9FF56A6-A8FE-4F5A-85BD-42F36452A6AD}</author>
    <author>tc={554EA198-1834-498D-BD8C-0BBF0EE3766F}</author>
    <author>tc={88E1A06F-B705-4046-97C8-2DB04E4C1528}</author>
    <author>tc={3D3B0C35-E9F7-4778-B426-F508FF49141D}</author>
    <author>tc={BB5793C8-0E73-4FDA-A731-0ABA9722AD74}</author>
    <author>tc={DB38E93D-E8B7-42F6-8C7E-FF46E10D53D4}</author>
    <author>tc={5CBECEE0-5DC3-4B7E-91F6-FE421373A1E0}</author>
  </authors>
  <commentList>
    <comment ref="A10" authorId="0" shapeId="0" xr:uid="{C497944F-8260-49C8-8D80-87BBBA0A7995}">
      <text>
        <t>[Threaded comment]
Your version of Excel allows you to read this threaded comment; however, any edits to it will get removed if the file is opened in a newer version of Excel. Learn more: https://go.microsoft.com/fwlink/?linkid=870924
Comment:
    A changer a 20 % après</t>
      </text>
    </comment>
    <comment ref="A11" authorId="1" shapeId="0" xr:uid="{5CE9F8F1-DC50-4D87-A8EF-890AFD64F657}">
      <text>
        <t>[Threaded comment]
Your version of Excel allows you to read this threaded comment; however, any edits to it will get removed if the file is opened in a newer version of Excel. Learn more: https://go.microsoft.com/fwlink/?linkid=870924
Comment:
    Location place, trajet, camion</t>
      </text>
    </comment>
    <comment ref="F15" authorId="2" shapeId="0" xr:uid="{EC8646A8-57A2-492A-8E06-CCF996D246AA}">
      <text>
        <t>[Threaded comment]
Your version of Excel allows you to read this threaded comment; however, any edits to it will get removed if the file is opened in a newer version of Excel. Learn more: https://go.microsoft.com/fwlink/?linkid=870924
Comment:
    Ingrédients (+50% pour les grandes)</t>
      </text>
    </comment>
    <comment ref="G15" authorId="3" shapeId="0" xr:uid="{ECD8B370-9C8C-48F3-B110-582F91B6E122}">
      <text>
        <t>[Threaded comment]
Your version of Excel allows you to read this threaded comment; however, any edits to it will get removed if the file is opened in a newer version of Excel. Learn more: https://go.microsoft.com/fwlink/?linkid=870924
Comment:
    Chaiffres d'affaires : CA = prix * quantité</t>
      </text>
    </comment>
    <comment ref="H15" authorId="4" shapeId="0" xr:uid="{74214802-014E-4E6F-9E29-B6380EF38567}">
      <text>
        <t>[Threaded comment]
Your version of Excel allows you to read this threaded comment; however, any edits to it will get removed if the file is opened in a newer version of Excel. Learn more: https://go.microsoft.com/fwlink/?linkid=870924
Comment:
    TTC, on rajoute le tx de tva en $B$3 (1+tx tva)</t>
      </text>
    </comment>
    <comment ref="I15" authorId="5" shapeId="0" xr:uid="{8AA4CCB3-C3CA-4FCC-8DC6-59FC0BA7FF1B}">
      <text>
        <t>[Threaded comment]
Your version of Excel allows you to read this threaded comment; however, any edits to it will get removed if the file is opened in a newer version of Excel. Learn more: https://go.microsoft.com/fwlink/?linkid=870924
Comment:
    +50% pour la grande</t>
      </text>
    </comment>
    <comment ref="K15" authorId="6" shapeId="0" xr:uid="{F9FF56A6-A8FE-4F5A-85BD-42F36452A6AD}">
      <text>
        <t>[Threaded comment]
Your version of Excel allows you to read this threaded comment; however, any edits to it will get removed if the file is opened in a newer version of Excel. Learn more: https://go.microsoft.com/fwlink/?linkid=870924
Comment:
    CA HT - Les ingredients/compos</t>
      </text>
    </comment>
    <comment ref="L15" authorId="7" shapeId="0" xr:uid="{554EA198-1834-498D-BD8C-0BBF0EE3766F}">
      <text>
        <t>[Threaded comment]
Your version of Excel allows you to read this threaded comment; however, any edits to it will get removed if the file is opened in a newer version of Excel. Learn more: https://go.microsoft.com/fwlink/?linkid=870924
Comment:
    Profit/CA HT, à mettre en %</t>
      </text>
    </comment>
    <comment ref="A16" authorId="8" shapeId="0" xr:uid="{88E1A06F-B705-4046-97C8-2DB04E4C1528}">
      <text>
        <t>[Threaded comment]
Your version of Excel allows you to read this threaded comment; however, any edits to it will get removed if the file is opened in a newer version of Excel. Learn more: https://go.microsoft.com/fwlink/?linkid=870924
Comment:
    Sauce tomate, mozzarella, champignons, saumon fumé, crème fraiche citronée, ciboulette.</t>
      </text>
    </comment>
    <comment ref="A19" authorId="9" shapeId="0" xr:uid="{3D3B0C35-E9F7-4778-B426-F508FF49141D}">
      <text>
        <t>[Threaded comment]
Your version of Excel allows you to read this threaded comment; however, any edits to it will get removed if the file is opened in a newer version of Excel. Learn more: https://go.microsoft.com/fwlink/?linkid=870924
Comment:
    Sauce tomate, mozzarella, jambon, filets d'anchois, olives, persillade, origan.</t>
      </text>
    </comment>
    <comment ref="A20" authorId="10" shapeId="0" xr:uid="{BB5793C8-0E73-4FDA-A731-0ABA9722AD74}">
      <text>
        <t>[Threaded comment]
Your version of Excel allows you to read this threaded comment; however, any edits to it will get removed if the file is opened in a newer version of Excel. Learn more: https://go.microsoft.com/fwlink/?linkid=870924
Comment:
    Tomate, fromage, champignons, poitrine fumée, olives, origan</t>
      </text>
    </comment>
    <comment ref="A21" authorId="11" shapeId="0" xr:uid="{DB38E93D-E8B7-42F6-8C7E-FF46E10D53D4}">
      <text>
        <t>[Threaded comment]
Your version of Excel allows you to read this threaded comment; however, any edits to it will get removed if the file is opened in a newer version of Excel. Learn more: https://go.microsoft.com/fwlink/?linkid=870924
Comment:
    Tomate, fromage, gorgonzola, chèvre, reblochon, tomates fraîches olives, origan</t>
      </text>
    </comment>
    <comment ref="F24" authorId="12" shapeId="0" xr:uid="{5CBECEE0-5DC3-4B7E-91F6-FE421373A1E0}">
      <text>
        <t>[Threaded comment]
Your version of Excel allows you to read this threaded comment; however, any edits to it will get removed if the file is opened in a newer version of Excel. Learn more: https://go.microsoft.com/fwlink/?linkid=870924
Comment:
    Sur le HT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tc={18388EBB-2D6C-4D62-A243-3EFC9151408B}</author>
    <author>tc={C9AEC6D1-6807-4830-BD8A-8533D8C6E138}</author>
    <author>tc={ADF7375D-CD15-4FAE-A967-257D757E97C1}</author>
  </authors>
  <commentList>
    <comment ref="A6" authorId="0" shapeId="0" xr:uid="{18388EBB-2D6C-4D62-A243-3EFC9151408B}">
      <text>
        <t>[Threaded comment]
Your version of Excel allows you to read this threaded comment; however, any edits to it will get removed if the file is opened in a newer version of Excel. Learn more: https://go.microsoft.com/fwlink/?linkid=870924
Comment:
    Sauce tomate, mozzarella, jambon, filets d'anchois, olives, persillade, origan.</t>
      </text>
    </comment>
    <comment ref="A7" authorId="1" shapeId="0" xr:uid="{C9AEC6D1-6807-4830-BD8A-8533D8C6E138}">
      <text>
        <t>[Threaded comment]
Your version of Excel allows you to read this threaded comment; however, any edits to it will get removed if the file is opened in a newer version of Excel. Learn more: https://go.microsoft.com/fwlink/?linkid=870924
Comment:
    Tomate, fromage, champignons, poitrine fumée, olives, origan</t>
      </text>
    </comment>
    <comment ref="A8" authorId="2" shapeId="0" xr:uid="{ADF7375D-CD15-4FAE-A967-257D757E97C1}">
      <text>
        <t>[Threaded comment]
Your version of Excel allows you to read this threaded comment; however, any edits to it will get removed if the file is opened in a newer version of Excel. Learn more: https://go.microsoft.com/fwlink/?linkid=870924
Comment:
    Tomate, fromage, gorgonzola, chèvre, reblochon, tomates fraîches olives, origan</t>
      </text>
    </comment>
  </commentList>
</comments>
</file>

<file path=xl/sharedStrings.xml><?xml version="1.0" encoding="utf-8"?>
<sst xmlns="http://schemas.openxmlformats.org/spreadsheetml/2006/main" count="214" uniqueCount="125">
  <si>
    <t>Ventes de pizzas du marché de :</t>
  </si>
  <si>
    <t>Taux de TVA</t>
  </si>
  <si>
    <t>Pizza :</t>
  </si>
  <si>
    <t xml:space="preserve">Boissons : </t>
  </si>
  <si>
    <t xml:space="preserve">Alaska </t>
  </si>
  <si>
    <t>Quantité Moy</t>
  </si>
  <si>
    <t>Quantité grd</t>
  </si>
  <si>
    <t>Océane</t>
  </si>
  <si>
    <t>Pécheur</t>
  </si>
  <si>
    <t>Napoli</t>
  </si>
  <si>
    <t>Campagnarde</t>
  </si>
  <si>
    <t>4 fromages</t>
  </si>
  <si>
    <t>Evian</t>
  </si>
  <si>
    <t>Orangina</t>
  </si>
  <si>
    <t>Fanta</t>
  </si>
  <si>
    <t>Heineken</t>
  </si>
  <si>
    <t>Despérados</t>
  </si>
  <si>
    <t>Coca 1L</t>
  </si>
  <si>
    <t>Prix</t>
  </si>
  <si>
    <t>Quantité</t>
  </si>
  <si>
    <t>CA HT</t>
  </si>
  <si>
    <t>CA TTC</t>
  </si>
  <si>
    <t>Tx profit boisson</t>
  </si>
  <si>
    <t>Profit</t>
  </si>
  <si>
    <t>Taux de profit</t>
  </si>
  <si>
    <t>Total</t>
  </si>
  <si>
    <t>Total CA HT</t>
  </si>
  <si>
    <t>Total CA TTC</t>
  </si>
  <si>
    <t>Total profit</t>
  </si>
  <si>
    <t>Synthèse</t>
  </si>
  <si>
    <t>Durand</t>
  </si>
  <si>
    <t>Marie</t>
  </si>
  <si>
    <t xml:space="preserve">Les bases </t>
  </si>
  <si>
    <t>Les cellules</t>
  </si>
  <si>
    <t>nombre</t>
  </si>
  <si>
    <t>Texte</t>
  </si>
  <si>
    <t>formule</t>
  </si>
  <si>
    <t>Le carré</t>
  </si>
  <si>
    <t>Look/format</t>
  </si>
  <si>
    <t>Police</t>
  </si>
  <si>
    <t>Nombre</t>
  </si>
  <si>
    <t>date</t>
  </si>
  <si>
    <t>Style des cellules</t>
  </si>
  <si>
    <t>https://www.youtube.com/watch?v=rvg-ZsAqInk</t>
  </si>
  <si>
    <t>Justice</t>
  </si>
  <si>
    <t>Doutre</t>
  </si>
  <si>
    <t>La Fayette</t>
  </si>
  <si>
    <t>Belle Beille</t>
  </si>
  <si>
    <t>Leclerc</t>
  </si>
  <si>
    <t>Date</t>
  </si>
  <si>
    <t>Marché</t>
  </si>
  <si>
    <t>Charges</t>
  </si>
  <si>
    <t>CA</t>
  </si>
  <si>
    <t>La roseraie</t>
  </si>
  <si>
    <t>Pizza</t>
  </si>
  <si>
    <t>Taille</t>
  </si>
  <si>
    <t>prix</t>
  </si>
  <si>
    <t>quantité</t>
  </si>
  <si>
    <t>*** 4 pizza = 1 gratuite</t>
  </si>
  <si>
    <t>Tarif étudiant ? -20 %</t>
  </si>
  <si>
    <t>Livraison 5€ +10 %</t>
  </si>
  <si>
    <t>Boissons</t>
  </si>
  <si>
    <t xml:space="preserve">Net à payer : </t>
  </si>
  <si>
    <t>oui</t>
  </si>
  <si>
    <t>Fiche Facture, les SI</t>
  </si>
  <si>
    <t>%evolution</t>
  </si>
  <si>
    <t>% répartition 2021</t>
  </si>
  <si>
    <t>Prix Moyen</t>
  </si>
  <si>
    <t>Prix Grand</t>
  </si>
  <si>
    <t>TVA</t>
  </si>
  <si>
    <t xml:space="preserve">Angers le : </t>
  </si>
  <si>
    <t>normale</t>
  </si>
  <si>
    <t>grande</t>
  </si>
  <si>
    <t>Mois</t>
  </si>
  <si>
    <t>justice</t>
  </si>
  <si>
    <t>Tx profit</t>
  </si>
  <si>
    <t>Paramètres</t>
  </si>
  <si>
    <t>Ingrédients</t>
  </si>
  <si>
    <t>Total ingrédients</t>
  </si>
  <si>
    <t>https://www.excel-exercice.com/fonction-si/</t>
  </si>
  <si>
    <t>Nom</t>
  </si>
  <si>
    <t>Doit</t>
  </si>
  <si>
    <t>Dupont</t>
  </si>
  <si>
    <t>Recu</t>
  </si>
  <si>
    <t>Vérification</t>
  </si>
  <si>
    <t>James</t>
  </si>
  <si>
    <t>Bond</t>
  </si>
  <si>
    <t>Curie</t>
  </si>
  <si>
    <t>différence</t>
  </si>
  <si>
    <t>Vous avez compris ?</t>
  </si>
  <si>
    <t>Question 1 :</t>
  </si>
  <si>
    <t>Question 2 :</t>
  </si>
  <si>
    <t>Enoncé :</t>
  </si>
  <si>
    <t>Question 1 : Créer un TCD du Chiffre d'Affaires par Marché et le présenter dans un format professionnel</t>
  </si>
  <si>
    <t>QUESTION 1 CORRECTION</t>
  </si>
  <si>
    <t>Question 2 : Créer un TCD du profit et des charges par Marché et le présenter dans un format professionnel</t>
  </si>
  <si>
    <t>QUESTION 2 CORRECTION</t>
  </si>
  <si>
    <t>QUESTION 3 CORRECTION</t>
  </si>
  <si>
    <t>Question 3 : Créer un TCD du CA, du profit et des charges par mois et le présenter dans un format professionnel et rajouter un graphique dynamique croisé des 3 données par mois</t>
  </si>
  <si>
    <t xml:space="preserve">Séance 2 </t>
  </si>
  <si>
    <t xml:space="preserve">tuto (au cas où) : </t>
  </si>
  <si>
    <t xml:space="preserve">Tout d'abord : </t>
  </si>
  <si>
    <t xml:space="preserve">Vous faites votre comptabilité et répertoriez  les sommes dues et reçues de plusieurs de vos fournisseurs. </t>
  </si>
  <si>
    <t>Dans la cellule B3 : Ecrire "trop bien" si vous avez bien compris et sinon écrire "il faut changer de prof" dans la cellule C3.</t>
  </si>
  <si>
    <r>
      <t>Dans la colonne D et</t>
    </r>
    <r>
      <rPr>
        <u/>
        <sz val="11"/>
        <color theme="1"/>
        <rFont val="Calibri"/>
        <family val="2"/>
        <scheme val="minor"/>
      </rPr>
      <t xml:space="preserve"> à partir de la fonction SI </t>
    </r>
    <r>
      <rPr>
        <sz val="11"/>
        <color theme="1"/>
        <rFont val="Calibri"/>
        <family val="2"/>
        <scheme val="minor"/>
      </rPr>
      <t>: Vérifier si ce qui a été reçu correspond à ce qui la personne devait. Si c'est égal : écrire "ok", et si ce n'est pas le cas, écrire "pas ok"</t>
    </r>
  </si>
  <si>
    <t>non</t>
  </si>
  <si>
    <r>
      <t>Dans la colonne E et</t>
    </r>
    <r>
      <rPr>
        <u/>
        <sz val="11"/>
        <color theme="1"/>
        <rFont val="Calibri"/>
        <family val="2"/>
        <scheme val="minor"/>
      </rPr>
      <t xml:space="preserve"> à partir de la fonction SI</t>
    </r>
    <r>
      <rPr>
        <sz val="11"/>
        <color theme="1"/>
        <rFont val="Calibri"/>
        <family val="2"/>
        <scheme val="minor"/>
      </rPr>
      <t xml:space="preserve"> : Si la vérification n'est pas ok, alors calculer la différence </t>
    </r>
  </si>
  <si>
    <t>total</t>
  </si>
  <si>
    <t xml:space="preserve">tuto (si besoin) : </t>
  </si>
  <si>
    <t>Camion à pizza</t>
  </si>
  <si>
    <t>Camion hamburger</t>
  </si>
  <si>
    <t>Types de foodtruck</t>
  </si>
  <si>
    <t xml:space="preserve">Autres </t>
  </si>
  <si>
    <t>Voici des données qui portent sur le marché des Foodtrucks en France. Calculez les sommes, les évolutions et les répartitions (cases jaunes)</t>
  </si>
  <si>
    <t xml:space="preserve">Vous travaillez sur le projet de lancer un camion pizza. Tout d'abord vous vous intéressez à la concurrence. </t>
  </si>
  <si>
    <t xml:space="preserve">Vous vous référez à vos cours et à vos connaissances. </t>
  </si>
  <si>
    <t>Charges fixes marché/camion par jour</t>
  </si>
  <si>
    <t>Charges Salaires équipe par jour</t>
  </si>
  <si>
    <t xml:space="preserve">Pour cela, vous avez besoin de savoir sur une période donnée (1) quel est votre Chiffre d'affaires (CA)  ; (2) quels sont vos coûts (ou charges) fixes  et quels sont vos coûts variables (ingrédients). </t>
  </si>
  <si>
    <t>Le profit est la différence entre CAHT - coûts</t>
  </si>
  <si>
    <t>Le taux de profit est le ration profit/CAHT</t>
  </si>
  <si>
    <t xml:space="preserve">Replissez les cases jaunes. </t>
  </si>
  <si>
    <t xml:space="preserve">Vous calculez la profitabilité dun camion qui serait situé sur l'emplacement du marché de la "justice". </t>
  </si>
  <si>
    <t>Vous réalisez un modèle de facture. Pour cela vous devez rentrer des opérations simples et vous utilisez la fonction SI. Remplissez les cases jaunes et calculez le prix dans le cas présent.</t>
  </si>
  <si>
    <t>Données food truck/Lieu (marché)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</si>
</sst>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0.00\ &quot;€&quot;_-;\-* #,##0.00\ &quot;€&quot;_-;_-* &quot;-&quot;??\ &quot;€&quot;_-;_-@_-"/>
    <numFmt numFmtId="43" formatCode="_-* #,##0.00_-;\-* #,##0.00_-;_-* &quot;-&quot;??_-;_-@_-"/>
    <numFmt numFmtId="164" formatCode="[$-F800]dddd\,\ mmmm\ dd\,\ yyyy"/>
    <numFmt numFmtId="165" formatCode="_-* #,##0_-;\-* #,##0_-;_-* &quot;-&quot;??_-;_-@_-"/>
    <numFmt numFmtId="166" formatCode="_-* #,##0\ &quot;€&quot;_-;\-* #,##0\ &quot;€&quot;_-;_-* &quot;-&quot;??\ &quot;€&quot;_-;_-@_-"/>
  </numFmts>
  <fonts count="13"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
      <u/>
      <sz val="11"/>
      <color theme="10"/>
      <name val="Calibri"/>
      <family val="2"/>
      <scheme val="minor"/>
    </font>
    <font>
      <b/>
      <sz val="11"/>
      <color theme="1"/>
      <name val="Calibri"/>
      <family val="2"/>
      <scheme val="minor"/>
    </font>
    <font>
      <sz val="9"/>
      <color theme="1"/>
      <name val="Segoe UI"/>
      <family val="2"/>
    </font>
    <font>
      <b/>
      <u/>
      <sz val="11"/>
      <color theme="1"/>
      <name val="Calibri"/>
      <family val="2"/>
      <scheme val="minor"/>
    </font>
    <font>
      <b/>
      <sz val="11"/>
      <color rgb="FFFF0000"/>
      <name val="Calibri"/>
      <family val="2"/>
      <scheme val="minor"/>
    </font>
    <font>
      <u/>
      <sz val="11"/>
      <color theme="1"/>
      <name val="Calibri"/>
      <family val="2"/>
      <scheme val="minor"/>
    </font>
    <font>
      <sz val="11"/>
      <color theme="7" tint="0.59999389629810485"/>
      <name val="Calibri"/>
      <family val="2"/>
      <scheme val="minor"/>
    </font>
    <font>
      <b/>
      <sz val="11"/>
      <name val="Calibri"/>
      <family val="2"/>
      <scheme val="minor"/>
    </font>
  </fonts>
  <fills count="18">
    <fill>
      <patternFill patternType="none"/>
    </fill>
    <fill>
      <patternFill patternType="gray125"/>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5" tint="0.79998168889431442"/>
        <bgColor indexed="65"/>
      </patternFill>
    </fill>
    <fill>
      <patternFill patternType="solid">
        <fgColor theme="4"/>
      </patternFill>
    </fill>
    <fill>
      <patternFill patternType="solid">
        <fgColor theme="4" tint="0.59999389629810485"/>
        <bgColor indexed="65"/>
      </patternFill>
    </fill>
    <fill>
      <patternFill patternType="solid">
        <fgColor theme="9"/>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5"/>
      </patternFill>
    </fill>
    <fill>
      <patternFill patternType="solid">
        <fgColor theme="4"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5" tint="0.79998168889431442"/>
        <bgColor indexed="64"/>
      </patternFill>
    </fill>
    <fill>
      <patternFill patternType="solid">
        <fgColor theme="0" tint="-0.14999847407452621"/>
        <bgColor indexed="64"/>
      </patternFill>
    </fill>
  </fills>
  <borders count="2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5">
    <xf numFmtId="0" fontId="0" fillId="0" borderId="0"/>
    <xf numFmtId="0" fontId="3"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5" fillId="0" borderId="0" applyNumberForma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3" fillId="6" borderId="0" applyNumberFormat="0" applyBorder="0" applyAlignment="0" applyProtection="0"/>
    <xf numFmtId="0" fontId="1" fillId="7" borderId="0" applyNumberFormat="0" applyBorder="0" applyAlignment="0" applyProtection="0"/>
    <xf numFmtId="0" fontId="3"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43" fontId="1" fillId="0" borderId="0" applyFont="0" applyFill="0" applyBorder="0" applyAlignment="0" applyProtection="0"/>
    <xf numFmtId="0" fontId="1" fillId="11" borderId="0" applyNumberFormat="0" applyBorder="0" applyAlignment="0" applyProtection="0"/>
  </cellStyleXfs>
  <cellXfs count="129">
    <xf numFmtId="0" fontId="0" fillId="0" borderId="0" xfId="0"/>
    <xf numFmtId="0" fontId="1" fillId="3" borderId="1" xfId="2" applyBorder="1"/>
    <xf numFmtId="9" fontId="1" fillId="3" borderId="2" xfId="2" applyNumberFormat="1" applyBorder="1"/>
    <xf numFmtId="0" fontId="1" fillId="3" borderId="3" xfId="2" applyBorder="1"/>
    <xf numFmtId="0" fontId="1" fillId="3" borderId="5" xfId="2" applyBorder="1"/>
    <xf numFmtId="9" fontId="1" fillId="3" borderId="6" xfId="2" applyNumberFormat="1" applyBorder="1"/>
    <xf numFmtId="0" fontId="3" fillId="2" borderId="3" xfId="1" applyBorder="1"/>
    <xf numFmtId="0" fontId="4" fillId="2" borderId="0" xfId="1" applyFont="1"/>
    <xf numFmtId="14" fontId="4" fillId="2" borderId="0" xfId="1" applyNumberFormat="1" applyFont="1"/>
    <xf numFmtId="0" fontId="0" fillId="0" borderId="0" xfId="0" applyBorder="1"/>
    <xf numFmtId="0" fontId="0" fillId="0" borderId="9" xfId="0" applyBorder="1"/>
    <xf numFmtId="0" fontId="0" fillId="0" borderId="0" xfId="0" applyAlignment="1">
      <alignment horizontal="left"/>
    </xf>
    <xf numFmtId="0" fontId="1" fillId="3" borderId="2" xfId="2" applyBorder="1"/>
    <xf numFmtId="0" fontId="1" fillId="4" borderId="5" xfId="3" applyBorder="1"/>
    <xf numFmtId="0" fontId="1" fillId="5" borderId="3" xfId="4" applyBorder="1"/>
    <xf numFmtId="0" fontId="5" fillId="0" borderId="0" xfId="5"/>
    <xf numFmtId="0" fontId="3" fillId="6" borderId="9" xfId="8" applyBorder="1"/>
    <xf numFmtId="0" fontId="3" fillId="6" borderId="11" xfId="8" applyBorder="1"/>
    <xf numFmtId="0" fontId="3" fillId="6" borderId="10" xfId="8" applyBorder="1"/>
    <xf numFmtId="0" fontId="1" fillId="7" borderId="3" xfId="9" applyBorder="1"/>
    <xf numFmtId="165" fontId="1" fillId="7" borderId="0" xfId="9" applyNumberFormat="1" applyBorder="1"/>
    <xf numFmtId="44" fontId="1" fillId="4" borderId="0" xfId="6" applyFill="1" applyBorder="1"/>
    <xf numFmtId="44" fontId="1" fillId="9" borderId="0" xfId="11" applyNumberFormat="1" applyBorder="1"/>
    <xf numFmtId="0" fontId="1" fillId="9" borderId="0" xfId="11" applyBorder="1"/>
    <xf numFmtId="166" fontId="1" fillId="3" borderId="4" xfId="2" applyNumberFormat="1" applyBorder="1"/>
    <xf numFmtId="0" fontId="3" fillId="2" borderId="9" xfId="1" applyBorder="1"/>
    <xf numFmtId="0" fontId="3" fillId="2" borderId="10" xfId="1" applyBorder="1"/>
    <xf numFmtId="0" fontId="1" fillId="4" borderId="1" xfId="3" applyBorder="1"/>
    <xf numFmtId="0" fontId="1" fillId="4" borderId="3" xfId="3" applyBorder="1"/>
    <xf numFmtId="165" fontId="1" fillId="4" borderId="0" xfId="13" applyNumberFormat="1" applyFill="1" applyBorder="1"/>
    <xf numFmtId="0" fontId="5" fillId="0" borderId="0" xfId="5" applyAlignment="1">
      <alignment vertical="center"/>
    </xf>
    <xf numFmtId="0" fontId="6" fillId="0" borderId="9" xfId="0" applyFont="1" applyBorder="1"/>
    <xf numFmtId="0" fontId="1" fillId="7" borderId="1" xfId="9" applyBorder="1"/>
    <xf numFmtId="0" fontId="1" fillId="7" borderId="7" xfId="9" applyBorder="1"/>
    <xf numFmtId="0" fontId="1" fillId="7" borderId="2" xfId="9" applyBorder="1"/>
    <xf numFmtId="0" fontId="1" fillId="7" borderId="5" xfId="9" applyBorder="1"/>
    <xf numFmtId="0" fontId="3" fillId="6" borderId="13" xfId="8" applyBorder="1"/>
    <xf numFmtId="0" fontId="2" fillId="2" borderId="17" xfId="1" applyFont="1" applyBorder="1"/>
    <xf numFmtId="0" fontId="3" fillId="2" borderId="18" xfId="1" applyBorder="1"/>
    <xf numFmtId="0" fontId="3" fillId="2" borderId="19" xfId="1" applyBorder="1"/>
    <xf numFmtId="0" fontId="3" fillId="2" borderId="20" xfId="1" applyBorder="1"/>
    <xf numFmtId="0" fontId="1" fillId="3" borderId="22" xfId="2" applyBorder="1"/>
    <xf numFmtId="44" fontId="1" fillId="3" borderId="23" xfId="2" applyNumberFormat="1" applyBorder="1"/>
    <xf numFmtId="165" fontId="1" fillId="3" borderId="23" xfId="13" applyNumberFormat="1" applyFill="1" applyBorder="1"/>
    <xf numFmtId="0" fontId="1" fillId="10" borderId="17" xfId="12" applyBorder="1"/>
    <xf numFmtId="0" fontId="1" fillId="10" borderId="18" xfId="12" applyBorder="1" applyAlignment="1">
      <alignment horizontal="center"/>
    </xf>
    <xf numFmtId="0" fontId="1" fillId="10" borderId="19" xfId="12" applyBorder="1" applyAlignment="1">
      <alignment horizontal="center"/>
    </xf>
    <xf numFmtId="0" fontId="1" fillId="9" borderId="20" xfId="11" applyBorder="1"/>
    <xf numFmtId="0" fontId="3" fillId="8" borderId="22" xfId="10" applyBorder="1"/>
    <xf numFmtId="44" fontId="3" fillId="8" borderId="23" xfId="10" applyNumberFormat="1" applyBorder="1"/>
    <xf numFmtId="0" fontId="1" fillId="7" borderId="0" xfId="9" applyBorder="1" applyAlignment="1">
      <alignment vertical="center"/>
    </xf>
    <xf numFmtId="164" fontId="0" fillId="0" borderId="0" xfId="0" applyNumberFormat="1" applyAlignment="1">
      <alignment horizontal="left"/>
    </xf>
    <xf numFmtId="0" fontId="0" fillId="0" borderId="0" xfId="0" applyAlignment="1">
      <alignment horizontal="center"/>
    </xf>
    <xf numFmtId="1" fontId="0" fillId="0" borderId="0" xfId="0" applyNumberFormat="1" applyAlignment="1">
      <alignment horizontal="center"/>
    </xf>
    <xf numFmtId="0" fontId="8" fillId="0" borderId="0" xfId="0" applyFont="1"/>
    <xf numFmtId="0" fontId="9" fillId="0" borderId="0" xfId="0" applyFont="1"/>
    <xf numFmtId="0" fontId="7" fillId="0" borderId="0" xfId="0" applyFont="1" applyAlignment="1">
      <alignment horizontal="center" vertical="center" wrapText="1"/>
    </xf>
    <xf numFmtId="0" fontId="0" fillId="0" borderId="0" xfId="0" applyFont="1" applyAlignment="1">
      <alignment horizontal="left" vertical="center"/>
    </xf>
    <xf numFmtId="0" fontId="0" fillId="12" borderId="0" xfId="0" applyFill="1"/>
    <xf numFmtId="0" fontId="6" fillId="0" borderId="0" xfId="0" applyFont="1" applyBorder="1"/>
    <xf numFmtId="0" fontId="1" fillId="0" borderId="0" xfId="9" applyFill="1" applyBorder="1"/>
    <xf numFmtId="0" fontId="1" fillId="7" borderId="7" xfId="9" applyBorder="1" applyAlignment="1">
      <alignment horizontal="center"/>
    </xf>
    <xf numFmtId="44" fontId="1" fillId="0" borderId="0" xfId="9" applyNumberFormat="1" applyFill="1" applyBorder="1" applyAlignment="1">
      <alignment horizontal="center"/>
    </xf>
    <xf numFmtId="44" fontId="1" fillId="0" borderId="8" xfId="9" applyNumberFormat="1" applyFill="1" applyBorder="1" applyAlignment="1">
      <alignment horizontal="center"/>
    </xf>
    <xf numFmtId="0" fontId="1" fillId="13" borderId="0" xfId="14" applyFill="1" applyBorder="1" applyAlignment="1">
      <alignment horizontal="center"/>
    </xf>
    <xf numFmtId="0" fontId="1" fillId="13" borderId="4" xfId="14" applyFill="1" applyBorder="1"/>
    <xf numFmtId="0" fontId="1" fillId="13" borderId="4" xfId="14" applyFill="1" applyBorder="1" applyAlignment="1">
      <alignment horizontal="center"/>
    </xf>
    <xf numFmtId="44" fontId="1" fillId="13" borderId="4" xfId="14" applyNumberFormat="1" applyFill="1" applyBorder="1" applyAlignment="1">
      <alignment horizontal="left"/>
    </xf>
    <xf numFmtId="0" fontId="1" fillId="13" borderId="8" xfId="14" applyFill="1" applyBorder="1" applyAlignment="1">
      <alignment horizontal="center"/>
    </xf>
    <xf numFmtId="44" fontId="1" fillId="13" borderId="6" xfId="14" applyNumberFormat="1" applyFill="1" applyBorder="1" applyAlignment="1">
      <alignment horizontal="left"/>
    </xf>
    <xf numFmtId="0" fontId="1" fillId="13" borderId="12" xfId="9" applyFill="1" applyBorder="1"/>
    <xf numFmtId="44" fontId="11" fillId="13" borderId="4" xfId="4" applyNumberFormat="1" applyFont="1" applyFill="1" applyBorder="1"/>
    <xf numFmtId="44" fontId="1" fillId="13" borderId="6" xfId="3" applyNumberFormat="1" applyFill="1" applyBorder="1"/>
    <xf numFmtId="14" fontId="0" fillId="0" borderId="0" xfId="0" applyNumberFormat="1" applyAlignment="1">
      <alignment horizontal="center"/>
    </xf>
    <xf numFmtId="0" fontId="1" fillId="3" borderId="7" xfId="2" applyBorder="1" applyAlignment="1">
      <alignment horizontal="center"/>
    </xf>
    <xf numFmtId="0" fontId="1" fillId="5" borderId="0" xfId="4" applyBorder="1" applyAlignment="1">
      <alignment horizontal="center"/>
    </xf>
    <xf numFmtId="44" fontId="1" fillId="5" borderId="0" xfId="4" applyNumberFormat="1" applyBorder="1" applyAlignment="1">
      <alignment horizontal="center"/>
    </xf>
    <xf numFmtId="0" fontId="1" fillId="4" borderId="8" xfId="3" applyBorder="1" applyAlignment="1">
      <alignment horizontal="center"/>
    </xf>
    <xf numFmtId="0" fontId="0" fillId="0" borderId="11" xfId="0" applyBorder="1" applyAlignment="1">
      <alignment horizontal="center"/>
    </xf>
    <xf numFmtId="0" fontId="3" fillId="2" borderId="11" xfId="1" applyBorder="1" applyAlignment="1">
      <alignment horizontal="center"/>
    </xf>
    <xf numFmtId="44" fontId="0" fillId="13" borderId="10" xfId="6" applyFont="1" applyFill="1" applyBorder="1"/>
    <xf numFmtId="0" fontId="0" fillId="14" borderId="1" xfId="0" applyFill="1" applyBorder="1"/>
    <xf numFmtId="0" fontId="0" fillId="14" borderId="7" xfId="0" applyFill="1" applyBorder="1" applyAlignment="1">
      <alignment horizontal="center"/>
    </xf>
    <xf numFmtId="0" fontId="0" fillId="14" borderId="2" xfId="0" applyFill="1" applyBorder="1"/>
    <xf numFmtId="0" fontId="3" fillId="15" borderId="0" xfId="2" applyFont="1" applyFill="1" applyBorder="1"/>
    <xf numFmtId="0" fontId="1" fillId="16" borderId="0" xfId="2" applyFill="1" applyBorder="1" applyAlignment="1">
      <alignment horizontal="center"/>
    </xf>
    <xf numFmtId="44" fontId="1" fillId="16" borderId="0" xfId="2" applyNumberFormat="1" applyFill="1" applyBorder="1" applyAlignment="1">
      <alignment horizontal="center"/>
    </xf>
    <xf numFmtId="0" fontId="1" fillId="16" borderId="8" xfId="2" applyFill="1" applyBorder="1" applyAlignment="1">
      <alignment horizontal="center"/>
    </xf>
    <xf numFmtId="0" fontId="1" fillId="16" borderId="8" xfId="2" applyFill="1" applyBorder="1"/>
    <xf numFmtId="44" fontId="1" fillId="13" borderId="4" xfId="2" applyNumberFormat="1" applyFill="1" applyBorder="1"/>
    <xf numFmtId="44" fontId="1" fillId="13" borderId="4" xfId="4" applyNumberFormat="1" applyFill="1" applyBorder="1"/>
    <xf numFmtId="44" fontId="0" fillId="13" borderId="10" xfId="0" applyNumberFormat="1" applyFill="1" applyBorder="1"/>
    <xf numFmtId="0" fontId="12" fillId="0" borderId="0" xfId="0" applyFont="1" applyAlignment="1">
      <alignment vertical="center"/>
    </xf>
    <xf numFmtId="0" fontId="6" fillId="0" borderId="0" xfId="0" applyFont="1" applyAlignment="1">
      <alignment horizontal="center"/>
    </xf>
    <xf numFmtId="14" fontId="6" fillId="0" borderId="0" xfId="0" applyNumberFormat="1" applyFont="1" applyAlignment="1">
      <alignment horizontal="center"/>
    </xf>
    <xf numFmtId="0" fontId="6" fillId="0" borderId="0" xfId="0" applyFont="1"/>
    <xf numFmtId="14" fontId="0" fillId="0" borderId="0" xfId="0" applyNumberFormat="1" applyBorder="1"/>
    <xf numFmtId="0" fontId="0" fillId="17" borderId="1" xfId="0" applyFill="1" applyBorder="1"/>
    <xf numFmtId="0" fontId="0" fillId="17" borderId="7" xfId="0" applyFill="1" applyBorder="1"/>
    <xf numFmtId="0" fontId="0" fillId="17" borderId="2" xfId="0" applyFill="1" applyBorder="1"/>
    <xf numFmtId="0" fontId="0" fillId="17" borderId="3" xfId="0" applyFill="1" applyBorder="1"/>
    <xf numFmtId="0" fontId="0" fillId="17" borderId="0" xfId="0" applyFill="1" applyBorder="1"/>
    <xf numFmtId="0" fontId="0" fillId="17" borderId="4" xfId="0" applyFill="1" applyBorder="1"/>
    <xf numFmtId="0" fontId="0" fillId="17" borderId="5" xfId="0" applyFill="1" applyBorder="1"/>
    <xf numFmtId="0" fontId="0" fillId="17" borderId="8" xfId="0" applyFill="1" applyBorder="1"/>
    <xf numFmtId="14" fontId="0" fillId="17" borderId="6" xfId="0" applyNumberFormat="1" applyFill="1" applyBorder="1"/>
    <xf numFmtId="9" fontId="1" fillId="13" borderId="1" xfId="9" applyNumberFormat="1" applyFill="1" applyBorder="1"/>
    <xf numFmtId="9" fontId="1" fillId="13" borderId="2" xfId="9" applyNumberFormat="1" applyFill="1" applyBorder="1"/>
    <xf numFmtId="9" fontId="1" fillId="13" borderId="3" xfId="9" applyNumberFormat="1" applyFill="1" applyBorder="1"/>
    <xf numFmtId="9" fontId="1" fillId="13" borderId="4" xfId="9" applyNumberFormat="1" applyFill="1" applyBorder="1"/>
    <xf numFmtId="9" fontId="3" fillId="13" borderId="15" xfId="8" applyNumberFormat="1" applyFill="1" applyBorder="1"/>
    <xf numFmtId="9" fontId="3" fillId="13" borderId="16" xfId="8" applyNumberFormat="1" applyFill="1" applyBorder="1"/>
    <xf numFmtId="0" fontId="0" fillId="0" borderId="0" xfId="0" applyFill="1" applyBorder="1"/>
    <xf numFmtId="165" fontId="3" fillId="13" borderId="14" xfId="8" applyNumberFormat="1" applyFill="1" applyBorder="1"/>
    <xf numFmtId="44" fontId="1" fillId="13" borderId="0" xfId="6" applyFill="1" applyBorder="1"/>
    <xf numFmtId="44" fontId="1" fillId="13" borderId="0" xfId="3" applyNumberFormat="1" applyFill="1" applyBorder="1"/>
    <xf numFmtId="9" fontId="1" fillId="13" borderId="21" xfId="7" applyFill="1" applyBorder="1"/>
    <xf numFmtId="44" fontId="1" fillId="13" borderId="23" xfId="2" applyNumberFormat="1" applyFill="1" applyBorder="1"/>
    <xf numFmtId="44" fontId="1" fillId="13" borderId="16" xfId="2" applyNumberFormat="1" applyFill="1" applyBorder="1"/>
    <xf numFmtId="9" fontId="1" fillId="13" borderId="24" xfId="7" applyFill="1" applyBorder="1"/>
    <xf numFmtId="166" fontId="1" fillId="13" borderId="2" xfId="3" applyNumberFormat="1" applyFill="1" applyBorder="1"/>
    <xf numFmtId="166" fontId="1" fillId="13" borderId="4" xfId="3" applyNumberFormat="1" applyFill="1" applyBorder="1"/>
    <xf numFmtId="166" fontId="1" fillId="13" borderId="6" xfId="3" applyNumberFormat="1" applyFill="1" applyBorder="1"/>
    <xf numFmtId="9" fontId="1" fillId="13" borderId="6" xfId="7" applyFill="1" applyBorder="1"/>
    <xf numFmtId="44" fontId="1" fillId="13" borderId="0" xfId="11" applyNumberFormat="1" applyFill="1" applyBorder="1"/>
    <xf numFmtId="44" fontId="1" fillId="13" borderId="21" xfId="11" applyNumberFormat="1" applyFill="1" applyBorder="1"/>
    <xf numFmtId="44" fontId="3" fillId="13" borderId="23" xfId="10" applyNumberFormat="1" applyFill="1" applyBorder="1"/>
    <xf numFmtId="44" fontId="3" fillId="13" borderId="24" xfId="10" applyNumberFormat="1" applyFill="1" applyBorder="1"/>
    <xf numFmtId="0" fontId="0" fillId="0" borderId="0" xfId="0" applyAlignment="1">
      <alignment horizontal="center" vertical="center" wrapText="1"/>
    </xf>
  </cellXfs>
  <cellStyles count="15">
    <cellStyle name="20% - Accent1" xfId="14" builtinId="30"/>
    <cellStyle name="20% - Accent2" xfId="4" builtinId="34"/>
    <cellStyle name="40% - Accent1" xfId="9" builtinId="31"/>
    <cellStyle name="40% - Accent2" xfId="2" builtinId="35"/>
    <cellStyle name="40% - Accent6" xfId="11" builtinId="51"/>
    <cellStyle name="60% - Accent2" xfId="3" builtinId="36"/>
    <cellStyle name="60% - Accent6" xfId="12" builtinId="52"/>
    <cellStyle name="Accent1" xfId="8" builtinId="29"/>
    <cellStyle name="Accent2" xfId="1" builtinId="33"/>
    <cellStyle name="Accent6" xfId="10" builtinId="49"/>
    <cellStyle name="Comma" xfId="13" builtinId="3"/>
    <cellStyle name="Currency" xfId="6" builtinId="4"/>
    <cellStyle name="Hyperlink" xfId="5" builtinId="8"/>
    <cellStyle name="Normal" xfId="0" builtinId="0"/>
    <cellStyle name="Percent" xfId="7" builtinId="5"/>
  </cellStyles>
  <dxfs count="0"/>
  <tableStyles count="1" defaultTableStyle="TableStyleMedium2" defaultPivotStyle="PivotStyleLight16">
    <tableStyle name="Invisible" pivot="0" table="0" count="0" xr9:uid="{BB10C7E5-2346-4486-9346-240C8D1A5EA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BONIZEC Jean-Michel" id="{566B121E-E942-4618-9F65-1FE61C5C9810}" userId="BONIZEC Jean-Michel"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0" dT="2021-05-05T17:01:32.77" personId="{566B121E-E942-4618-9F65-1FE61C5C9810}" id="{C497944F-8260-49C8-8D80-87BBBA0A7995}">
    <text>A changer a 20 % après</text>
  </threadedComment>
  <threadedComment ref="A11" dT="2021-05-17T20:16:30.43" personId="{566B121E-E942-4618-9F65-1FE61C5C9810}" id="{5CE9F8F1-DC50-4D87-A8EF-890AFD64F657}">
    <text>Location place, trajet, camion</text>
  </threadedComment>
  <threadedComment ref="F15" dT="2021-05-18T19:43:18.37" personId="{566B121E-E942-4618-9F65-1FE61C5C9810}" id="{EC8646A8-57A2-492A-8E06-CCF996D246AA}">
    <text>Ingrédients (+50% pour les grandes)</text>
  </threadedComment>
  <threadedComment ref="G15" dT="2021-05-18T19:44:06.54" personId="{566B121E-E942-4618-9F65-1FE61C5C9810}" id="{ECD8B370-9C8C-48F3-B110-582F91B6E122}">
    <text>Chaiffres d'affaires : CA = prix * quantité</text>
  </threadedComment>
  <threadedComment ref="H15" dT="2021-05-18T19:45:06.79" personId="{566B121E-E942-4618-9F65-1FE61C5C9810}" id="{74214802-014E-4E6F-9E29-B6380EF38567}">
    <text>TTC, on rajoute le tx de tva en $B$3 (1+tx tva)</text>
  </threadedComment>
  <threadedComment ref="I15" dT="2021-05-17T20:18:54.32" personId="{566B121E-E942-4618-9F65-1FE61C5C9810}" id="{8AA4CCB3-C3CA-4FCC-8DC6-59FC0BA7FF1B}">
    <text>+50% pour la grande</text>
  </threadedComment>
  <threadedComment ref="K15" dT="2021-05-18T19:46:03.28" personId="{566B121E-E942-4618-9F65-1FE61C5C9810}" id="{F9FF56A6-A8FE-4F5A-85BD-42F36452A6AD}">
    <text>CA HT - Les ingredients/compos</text>
  </threadedComment>
  <threadedComment ref="L15" dT="2021-05-18T19:46:33.59" personId="{566B121E-E942-4618-9F65-1FE61C5C9810}" id="{554EA198-1834-498D-BD8C-0BBF0EE3766F}">
    <text>Profit/CA HT, à mettre en %</text>
  </threadedComment>
  <threadedComment ref="A16" dT="2021-05-05T16:44:49.10" personId="{566B121E-E942-4618-9F65-1FE61C5C9810}" id="{88E1A06F-B705-4046-97C8-2DB04E4C1528}">
    <text>Sauce tomate, mozzarella, champignons, saumon fumé, crème fraiche citronée, ciboulette.</text>
  </threadedComment>
  <threadedComment ref="A19" dT="2021-05-05T16:46:44.37" personId="{566B121E-E942-4618-9F65-1FE61C5C9810}" id="{3D3B0C35-E9F7-4778-B426-F508FF49141D}">
    <text>Sauce tomate, mozzarella, jambon, filets d'anchois, olives, persillade, origan.</text>
  </threadedComment>
  <threadedComment ref="A20" dT="2021-05-05T16:55:40.70" personId="{566B121E-E942-4618-9F65-1FE61C5C9810}" id="{BB5793C8-0E73-4FDA-A731-0ABA9722AD74}">
    <text>Tomate, fromage, champignons, poitrine fumée, olives, origan</text>
  </threadedComment>
  <threadedComment ref="A21" dT="2021-05-05T16:56:33.43" personId="{566B121E-E942-4618-9F65-1FE61C5C9810}" id="{DB38E93D-E8B7-42F6-8C7E-FF46E10D53D4}">
    <text>Tomate, fromage, gorgonzola, chèvre, reblochon, tomates fraîches olives, origan</text>
  </threadedComment>
  <threadedComment ref="F24" dT="2021-05-05T17:02:46.33" personId="{566B121E-E942-4618-9F65-1FE61C5C9810}" id="{5CBECEE0-5DC3-4B7E-91F6-FE421373A1E0}">
    <text>Sur le HT</text>
  </threadedComment>
</ThreadedComments>
</file>

<file path=xl/threadedComments/threadedComment2.xml><?xml version="1.0" encoding="utf-8"?>
<ThreadedComments xmlns="http://schemas.microsoft.com/office/spreadsheetml/2018/threadedcomments" xmlns:x="http://schemas.openxmlformats.org/spreadsheetml/2006/main">
  <threadedComment ref="A6" dT="2021-05-05T16:46:44.37" personId="{566B121E-E942-4618-9F65-1FE61C5C9810}" id="{18388EBB-2D6C-4D62-A243-3EFC9151408B}">
    <text>Sauce tomate, mozzarella, jambon, filets d'anchois, olives, persillade, origan.</text>
  </threadedComment>
  <threadedComment ref="A7" dT="2021-05-05T16:55:40.70" personId="{566B121E-E942-4618-9F65-1FE61C5C9810}" id="{C9AEC6D1-6807-4830-BD8A-8533D8C6E138}">
    <text>Tomate, fromage, champignons, poitrine fumée, olives, origan</text>
  </threadedComment>
  <threadedComment ref="A8" dT="2021-05-05T16:56:33.43" personId="{566B121E-E942-4618-9F65-1FE61C5C9810}" id="{ADF7375D-CD15-4FAE-A967-257D757E97C1}">
    <text>Tomate, fromage, gorgonzola, chèvre, reblochon, tomates fraîches olives, origan</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rvg-ZsAqInk"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excel-exercice.com/fonction-si/" TargetMode="Externa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5A6D1-AD2C-43C0-A74C-AA8613DA44C8}">
  <sheetPr codeName="Feuil4">
    <tabColor theme="4" tint="0.79998168889431442"/>
  </sheetPr>
  <dimension ref="A1:E17"/>
  <sheetViews>
    <sheetView tabSelected="1" workbookViewId="0">
      <selection activeCell="H13" sqref="H13"/>
    </sheetView>
  </sheetViews>
  <sheetFormatPr defaultColWidth="10.90625" defaultRowHeight="14.5" x14ac:dyDescent="0.35"/>
  <cols>
    <col min="1" max="1" width="17.26953125" customWidth="1"/>
    <col min="4" max="4" width="17.1796875" customWidth="1"/>
  </cols>
  <sheetData>
    <row r="1" spans="1:5" x14ac:dyDescent="0.35">
      <c r="A1" s="97" t="s">
        <v>32</v>
      </c>
      <c r="B1" s="98"/>
      <c r="C1" s="98" t="s">
        <v>35</v>
      </c>
      <c r="D1" s="98" t="s">
        <v>34</v>
      </c>
      <c r="E1" s="99" t="s">
        <v>36</v>
      </c>
    </row>
    <row r="2" spans="1:5" x14ac:dyDescent="0.35">
      <c r="A2" s="100" t="s">
        <v>33</v>
      </c>
      <c r="B2" s="101"/>
      <c r="C2" s="101" t="s">
        <v>37</v>
      </c>
      <c r="D2" s="101">
        <v>99.66</v>
      </c>
      <c r="E2" s="102">
        <f>D2*D2</f>
        <v>9932.1155999999992</v>
      </c>
    </row>
    <row r="3" spans="1:5" x14ac:dyDescent="0.35">
      <c r="A3" s="100"/>
      <c r="B3" s="101"/>
      <c r="C3" s="101"/>
      <c r="D3" s="101"/>
      <c r="E3" s="102"/>
    </row>
    <row r="4" spans="1:5" x14ac:dyDescent="0.35">
      <c r="A4" s="100" t="s">
        <v>38</v>
      </c>
      <c r="B4" s="101"/>
      <c r="C4" s="101" t="s">
        <v>39</v>
      </c>
      <c r="D4" s="101" t="s">
        <v>40</v>
      </c>
      <c r="E4" s="102" t="s">
        <v>41</v>
      </c>
    </row>
    <row r="5" spans="1:5" ht="15" thickBot="1" x14ac:dyDescent="0.4">
      <c r="A5" s="103" t="s">
        <v>42</v>
      </c>
      <c r="B5" s="104"/>
      <c r="C5" s="104"/>
      <c r="D5" s="104"/>
      <c r="E5" s="105">
        <f ca="1">TODAY()</f>
        <v>44495</v>
      </c>
    </row>
    <row r="6" spans="1:5" x14ac:dyDescent="0.35">
      <c r="A6" s="9"/>
      <c r="B6" s="9"/>
      <c r="C6" s="9"/>
      <c r="D6" s="9"/>
      <c r="E6" s="96"/>
    </row>
    <row r="7" spans="1:5" x14ac:dyDescent="0.35">
      <c r="A7" t="s">
        <v>108</v>
      </c>
      <c r="B7" s="15" t="s">
        <v>43</v>
      </c>
    </row>
    <row r="8" spans="1:5" x14ac:dyDescent="0.35">
      <c r="B8" s="15"/>
    </row>
    <row r="9" spans="1:5" x14ac:dyDescent="0.35">
      <c r="A9" t="s">
        <v>114</v>
      </c>
      <c r="B9" s="15"/>
    </row>
    <row r="10" spans="1:5" x14ac:dyDescent="0.35">
      <c r="A10" s="112" t="s">
        <v>113</v>
      </c>
      <c r="B10" s="15"/>
    </row>
    <row r="11" spans="1:5" ht="15" thickBot="1" x14ac:dyDescent="0.4"/>
    <row r="12" spans="1:5" ht="15" thickBot="1" x14ac:dyDescent="0.4">
      <c r="A12" s="16" t="s">
        <v>111</v>
      </c>
      <c r="B12" s="17">
        <v>2020</v>
      </c>
      <c r="C12" s="18">
        <v>2021</v>
      </c>
      <c r="D12" s="16" t="s">
        <v>66</v>
      </c>
      <c r="E12" s="18" t="s">
        <v>65</v>
      </c>
    </row>
    <row r="13" spans="1:5" x14ac:dyDescent="0.35">
      <c r="A13" s="19" t="s">
        <v>109</v>
      </c>
      <c r="B13" s="20">
        <v>5500</v>
      </c>
      <c r="C13" s="20">
        <v>6000</v>
      </c>
      <c r="D13" s="106"/>
      <c r="E13" s="107"/>
    </row>
    <row r="14" spans="1:5" x14ac:dyDescent="0.35">
      <c r="A14" s="19" t="s">
        <v>110</v>
      </c>
      <c r="B14" s="20">
        <v>600</v>
      </c>
      <c r="C14" s="20">
        <v>700</v>
      </c>
      <c r="D14" s="108"/>
      <c r="E14" s="109"/>
    </row>
    <row r="15" spans="1:5" ht="15" thickBot="1" x14ac:dyDescent="0.4">
      <c r="A15" s="19" t="s">
        <v>112</v>
      </c>
      <c r="B15" s="20">
        <v>100</v>
      </c>
      <c r="C15" s="20">
        <v>150</v>
      </c>
      <c r="D15" s="108"/>
      <c r="E15" s="109"/>
    </row>
    <row r="16" spans="1:5" x14ac:dyDescent="0.35">
      <c r="A16" s="36" t="s">
        <v>25</v>
      </c>
      <c r="B16" s="113"/>
      <c r="C16" s="113"/>
      <c r="D16" s="110"/>
      <c r="E16" s="111"/>
    </row>
    <row r="17" customFormat="1" x14ac:dyDescent="0.35"/>
  </sheetData>
  <hyperlinks>
    <hyperlink ref="B7" r:id="rId1" xr:uid="{89DB7402-0588-49E9-93AE-BEBCA46022A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7A7AF-CBE2-48FF-B593-2B7C52C0FBF3}">
  <sheetPr codeName="Feuil1">
    <tabColor theme="4" tint="0.79998168889431442"/>
  </sheetPr>
  <dimension ref="A1:L31"/>
  <sheetViews>
    <sheetView zoomScale="80" zoomScaleNormal="80" workbookViewId="0">
      <selection activeCell="K13" sqref="K13"/>
    </sheetView>
  </sheetViews>
  <sheetFormatPr defaultColWidth="10.90625" defaultRowHeight="14.5" x14ac:dyDescent="0.35"/>
  <cols>
    <col min="1" max="1" width="40" customWidth="1"/>
    <col min="2" max="2" width="18.7265625" customWidth="1"/>
    <col min="3" max="3" width="16.1796875" customWidth="1"/>
    <col min="4" max="4" width="13.453125" customWidth="1"/>
    <col min="5" max="5" width="13.26953125" customWidth="1"/>
    <col min="9" max="9" width="17.26953125" customWidth="1"/>
    <col min="11" max="11" width="12.81640625" customWidth="1"/>
  </cols>
  <sheetData>
    <row r="1" spans="1:12" ht="12.75" customHeight="1" x14ac:dyDescent="0.35">
      <c r="A1" t="s">
        <v>122</v>
      </c>
    </row>
    <row r="2" spans="1:12" ht="12.75" customHeight="1" x14ac:dyDescent="0.35">
      <c r="A2" t="s">
        <v>115</v>
      </c>
    </row>
    <row r="3" spans="1:12" ht="12.75" customHeight="1" x14ac:dyDescent="0.35">
      <c r="A3" t="s">
        <v>118</v>
      </c>
    </row>
    <row r="4" spans="1:12" ht="12.75" customHeight="1" x14ac:dyDescent="0.35">
      <c r="A4" t="s">
        <v>119</v>
      </c>
    </row>
    <row r="5" spans="1:12" x14ac:dyDescent="0.35">
      <c r="A5" t="s">
        <v>120</v>
      </c>
    </row>
    <row r="6" spans="1:12" x14ac:dyDescent="0.35">
      <c r="A6" t="s">
        <v>121</v>
      </c>
    </row>
    <row r="8" spans="1:12" ht="15" thickBot="1" x14ac:dyDescent="0.4">
      <c r="A8" s="7" t="s">
        <v>0</v>
      </c>
      <c r="B8" s="7" t="s">
        <v>74</v>
      </c>
      <c r="C8" s="8">
        <v>44351</v>
      </c>
    </row>
    <row r="9" spans="1:12" ht="15" thickBot="1" x14ac:dyDescent="0.4">
      <c r="A9" t="s">
        <v>76</v>
      </c>
      <c r="D9" s="25"/>
      <c r="E9" s="26" t="s">
        <v>29</v>
      </c>
    </row>
    <row r="10" spans="1:12" x14ac:dyDescent="0.35">
      <c r="A10" s="1" t="s">
        <v>1</v>
      </c>
      <c r="B10" s="2">
        <v>0.19</v>
      </c>
      <c r="D10" s="27" t="s">
        <v>26</v>
      </c>
      <c r="E10" s="120"/>
    </row>
    <row r="11" spans="1:12" x14ac:dyDescent="0.35">
      <c r="A11" s="3" t="s">
        <v>116</v>
      </c>
      <c r="B11" s="24">
        <v>234</v>
      </c>
      <c r="D11" s="28" t="s">
        <v>27</v>
      </c>
      <c r="E11" s="121"/>
    </row>
    <row r="12" spans="1:12" ht="15" thickBot="1" x14ac:dyDescent="0.4">
      <c r="A12" s="3" t="s">
        <v>117</v>
      </c>
      <c r="B12" s="24">
        <v>240</v>
      </c>
      <c r="D12" s="13" t="s">
        <v>28</v>
      </c>
      <c r="E12" s="122"/>
    </row>
    <row r="13" spans="1:12" ht="15" thickBot="1" x14ac:dyDescent="0.4">
      <c r="A13" s="4" t="s">
        <v>22</v>
      </c>
      <c r="B13" s="5">
        <v>0.4</v>
      </c>
      <c r="D13" s="13" t="s">
        <v>75</v>
      </c>
      <c r="E13" s="123"/>
    </row>
    <row r="15" spans="1:12" x14ac:dyDescent="0.35">
      <c r="A15" s="37" t="s">
        <v>2</v>
      </c>
      <c r="B15" s="38" t="s">
        <v>67</v>
      </c>
      <c r="C15" s="38" t="s">
        <v>68</v>
      </c>
      <c r="D15" s="38" t="s">
        <v>5</v>
      </c>
      <c r="E15" s="38" t="s">
        <v>6</v>
      </c>
      <c r="F15" s="38" t="s">
        <v>77</v>
      </c>
      <c r="G15" s="38" t="s">
        <v>20</v>
      </c>
      <c r="H15" s="38" t="s">
        <v>21</v>
      </c>
      <c r="I15" s="38" t="s">
        <v>78</v>
      </c>
      <c r="J15" s="38" t="s">
        <v>69</v>
      </c>
      <c r="K15" s="38" t="s">
        <v>23</v>
      </c>
      <c r="L15" s="39" t="s">
        <v>24</v>
      </c>
    </row>
    <row r="16" spans="1:12" x14ac:dyDescent="0.35">
      <c r="A16" s="40" t="s">
        <v>4</v>
      </c>
      <c r="B16" s="21">
        <v>11</v>
      </c>
      <c r="C16" s="21">
        <v>12.5</v>
      </c>
      <c r="D16" s="29">
        <v>5</v>
      </c>
      <c r="E16" s="29">
        <v>1</v>
      </c>
      <c r="F16" s="21">
        <v>3.3</v>
      </c>
      <c r="G16" s="114"/>
      <c r="H16" s="115"/>
      <c r="I16" s="115"/>
      <c r="J16" s="115"/>
      <c r="K16" s="115"/>
      <c r="L16" s="116"/>
    </row>
    <row r="17" spans="1:12" x14ac:dyDescent="0.35">
      <c r="A17" s="40" t="s">
        <v>7</v>
      </c>
      <c r="B17" s="21">
        <v>10.5</v>
      </c>
      <c r="C17" s="21">
        <v>12</v>
      </c>
      <c r="D17" s="29">
        <v>15</v>
      </c>
      <c r="E17" s="29">
        <v>5</v>
      </c>
      <c r="F17" s="21">
        <v>2.5</v>
      </c>
      <c r="G17" s="114"/>
      <c r="H17" s="115"/>
      <c r="I17" s="115"/>
      <c r="J17" s="115"/>
      <c r="K17" s="115"/>
      <c r="L17" s="116"/>
    </row>
    <row r="18" spans="1:12" x14ac:dyDescent="0.35">
      <c r="A18" s="40" t="s">
        <v>8</v>
      </c>
      <c r="B18" s="21">
        <v>11.5</v>
      </c>
      <c r="C18" s="21">
        <v>13</v>
      </c>
      <c r="D18" s="29">
        <v>10</v>
      </c>
      <c r="E18" s="29">
        <v>12</v>
      </c>
      <c r="F18" s="21">
        <v>3.1</v>
      </c>
      <c r="G18" s="114"/>
      <c r="H18" s="115"/>
      <c r="I18" s="115"/>
      <c r="J18" s="115"/>
      <c r="K18" s="115"/>
      <c r="L18" s="116"/>
    </row>
    <row r="19" spans="1:12" x14ac:dyDescent="0.35">
      <c r="A19" s="40" t="s">
        <v>9</v>
      </c>
      <c r="B19" s="21">
        <v>10.5</v>
      </c>
      <c r="C19" s="21">
        <v>12</v>
      </c>
      <c r="D19" s="29">
        <v>22</v>
      </c>
      <c r="E19" s="29">
        <v>19</v>
      </c>
      <c r="F19" s="21">
        <v>2.2000000000000002</v>
      </c>
      <c r="G19" s="114"/>
      <c r="H19" s="115"/>
      <c r="I19" s="115"/>
      <c r="J19" s="115"/>
      <c r="K19" s="115"/>
      <c r="L19" s="116"/>
    </row>
    <row r="20" spans="1:12" x14ac:dyDescent="0.35">
      <c r="A20" s="40" t="s">
        <v>10</v>
      </c>
      <c r="B20" s="21">
        <v>10.7</v>
      </c>
      <c r="C20" s="21">
        <v>12.6</v>
      </c>
      <c r="D20" s="29">
        <v>20</v>
      </c>
      <c r="E20" s="29">
        <v>22</v>
      </c>
      <c r="F20" s="21">
        <v>2.8</v>
      </c>
      <c r="G20" s="114"/>
      <c r="H20" s="115"/>
      <c r="I20" s="115"/>
      <c r="J20" s="115"/>
      <c r="K20" s="115"/>
      <c r="L20" s="116"/>
    </row>
    <row r="21" spans="1:12" x14ac:dyDescent="0.35">
      <c r="A21" s="40" t="s">
        <v>11</v>
      </c>
      <c r="B21" s="21">
        <v>10.8</v>
      </c>
      <c r="C21" s="21">
        <v>12.8</v>
      </c>
      <c r="D21" s="29">
        <v>15</v>
      </c>
      <c r="E21" s="29">
        <v>21</v>
      </c>
      <c r="F21" s="21">
        <v>3.5</v>
      </c>
      <c r="G21" s="114"/>
      <c r="H21" s="115"/>
      <c r="I21" s="115"/>
      <c r="J21" s="115"/>
      <c r="K21" s="115"/>
      <c r="L21" s="116"/>
    </row>
    <row r="22" spans="1:12" x14ac:dyDescent="0.35">
      <c r="A22" s="41" t="s">
        <v>25</v>
      </c>
      <c r="B22" s="42"/>
      <c r="C22" s="42"/>
      <c r="D22" s="43"/>
      <c r="E22" s="43"/>
      <c r="F22" s="42"/>
      <c r="G22" s="117"/>
      <c r="H22" s="117"/>
      <c r="I22" s="117"/>
      <c r="J22" s="117"/>
      <c r="K22" s="118"/>
      <c r="L22" s="119"/>
    </row>
    <row r="24" spans="1:12" x14ac:dyDescent="0.35">
      <c r="A24" s="44" t="s">
        <v>3</v>
      </c>
      <c r="B24" s="45" t="s">
        <v>18</v>
      </c>
      <c r="C24" s="45" t="s">
        <v>19</v>
      </c>
      <c r="D24" s="45" t="s">
        <v>20</v>
      </c>
      <c r="E24" s="45" t="s">
        <v>21</v>
      </c>
      <c r="F24" s="46" t="s">
        <v>23</v>
      </c>
    </row>
    <row r="25" spans="1:12" x14ac:dyDescent="0.35">
      <c r="A25" s="47" t="s">
        <v>12</v>
      </c>
      <c r="B25" s="22">
        <v>2</v>
      </c>
      <c r="C25" s="23">
        <v>43</v>
      </c>
      <c r="D25" s="124"/>
      <c r="E25" s="124"/>
      <c r="F25" s="125"/>
    </row>
    <row r="26" spans="1:12" x14ac:dyDescent="0.35">
      <c r="A26" s="47" t="s">
        <v>13</v>
      </c>
      <c r="B26" s="22">
        <v>2</v>
      </c>
      <c r="C26" s="23">
        <v>35</v>
      </c>
      <c r="D26" s="124"/>
      <c r="E26" s="124"/>
      <c r="F26" s="125"/>
    </row>
    <row r="27" spans="1:12" x14ac:dyDescent="0.35">
      <c r="A27" s="47" t="s">
        <v>14</v>
      </c>
      <c r="B27" s="22">
        <v>2</v>
      </c>
      <c r="C27" s="23">
        <v>26</v>
      </c>
      <c r="D27" s="124"/>
      <c r="E27" s="124"/>
      <c r="F27" s="125"/>
    </row>
    <row r="28" spans="1:12" x14ac:dyDescent="0.35">
      <c r="A28" s="47" t="s">
        <v>15</v>
      </c>
      <c r="B28" s="22">
        <v>2</v>
      </c>
      <c r="C28" s="23">
        <v>24</v>
      </c>
      <c r="D28" s="124"/>
      <c r="E28" s="124"/>
      <c r="F28" s="125"/>
    </row>
    <row r="29" spans="1:12" x14ac:dyDescent="0.35">
      <c r="A29" s="47" t="s">
        <v>16</v>
      </c>
      <c r="B29" s="22">
        <v>3.5</v>
      </c>
      <c r="C29" s="23">
        <v>33</v>
      </c>
      <c r="D29" s="124"/>
      <c r="E29" s="124"/>
      <c r="F29" s="125"/>
    </row>
    <row r="30" spans="1:12" x14ac:dyDescent="0.35">
      <c r="A30" s="47" t="s">
        <v>17</v>
      </c>
      <c r="B30" s="22">
        <v>3.5</v>
      </c>
      <c r="C30" s="23">
        <v>19</v>
      </c>
      <c r="D30" s="124"/>
      <c r="E30" s="124"/>
      <c r="F30" s="125"/>
    </row>
    <row r="31" spans="1:12" x14ac:dyDescent="0.35">
      <c r="A31" s="48" t="s">
        <v>25</v>
      </c>
      <c r="B31" s="49"/>
      <c r="C31" s="49"/>
      <c r="D31" s="126"/>
      <c r="E31" s="126"/>
      <c r="F31" s="127"/>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0C6DD-0B8E-4334-B286-199C7FD449F5}">
  <sheetPr codeName="Feuil5">
    <tabColor theme="7" tint="0.79998168889431442"/>
  </sheetPr>
  <dimension ref="A1:H23"/>
  <sheetViews>
    <sheetView topLeftCell="A5" workbookViewId="0">
      <selection activeCell="K12" sqref="K12"/>
    </sheetView>
  </sheetViews>
  <sheetFormatPr defaultColWidth="10.90625" defaultRowHeight="14.5" x14ac:dyDescent="0.35"/>
  <cols>
    <col min="1" max="1" width="18.453125" customWidth="1"/>
    <col min="7" max="7" width="24.81640625" customWidth="1"/>
    <col min="9" max="9" width="13.453125" customWidth="1"/>
    <col min="10" max="10" width="3.26953125" customWidth="1"/>
  </cols>
  <sheetData>
    <row r="1" spans="1:8" x14ac:dyDescent="0.35">
      <c r="A1" t="s">
        <v>99</v>
      </c>
    </row>
    <row r="3" spans="1:8" x14ac:dyDescent="0.35">
      <c r="A3" t="s">
        <v>100</v>
      </c>
      <c r="B3" s="30" t="s">
        <v>79</v>
      </c>
    </row>
    <row r="4" spans="1:8" ht="15" customHeight="1" x14ac:dyDescent="0.35">
      <c r="B4" s="30"/>
      <c r="F4" s="56"/>
      <c r="G4" s="56"/>
      <c r="H4" s="56"/>
    </row>
    <row r="5" spans="1:8" x14ac:dyDescent="0.35">
      <c r="A5" s="58" t="s">
        <v>101</v>
      </c>
      <c r="B5" s="57" t="s">
        <v>103</v>
      </c>
      <c r="E5" s="56"/>
      <c r="F5" s="56"/>
      <c r="G5" s="56"/>
      <c r="H5" s="56"/>
    </row>
    <row r="6" spans="1:8" ht="15" thickBot="1" x14ac:dyDescent="0.4">
      <c r="B6" s="30"/>
      <c r="E6" s="56"/>
      <c r="F6" s="56"/>
      <c r="G6" s="56"/>
      <c r="H6" s="56"/>
    </row>
    <row r="7" spans="1:8" ht="15" thickBot="1" x14ac:dyDescent="0.4">
      <c r="A7" s="31" t="s">
        <v>89</v>
      </c>
      <c r="B7" s="70" t="s">
        <v>63</v>
      </c>
      <c r="C7" s="70" t="s">
        <v>105</v>
      </c>
      <c r="E7" s="56"/>
      <c r="F7" s="56"/>
      <c r="G7" s="56"/>
      <c r="H7" s="56"/>
    </row>
    <row r="8" spans="1:8" x14ac:dyDescent="0.35">
      <c r="A8" s="59"/>
      <c r="B8" s="60"/>
      <c r="C8" s="60"/>
      <c r="E8" s="56"/>
      <c r="F8" s="56"/>
      <c r="G8" s="56"/>
      <c r="H8" s="56"/>
    </row>
    <row r="9" spans="1:8" x14ac:dyDescent="0.35">
      <c r="A9" s="59"/>
      <c r="B9" s="60"/>
      <c r="C9" s="60"/>
      <c r="E9" s="56"/>
      <c r="F9" s="56"/>
      <c r="G9" s="56"/>
      <c r="H9" s="56"/>
    </row>
    <row r="10" spans="1:8" x14ac:dyDescent="0.35">
      <c r="A10" s="59" t="s">
        <v>102</v>
      </c>
      <c r="B10" s="60"/>
      <c r="C10" s="60"/>
      <c r="E10" s="56"/>
      <c r="F10" s="56"/>
      <c r="G10" s="56"/>
      <c r="H10" s="56"/>
    </row>
    <row r="11" spans="1:8" ht="15" thickBot="1" x14ac:dyDescent="0.4"/>
    <row r="12" spans="1:8" x14ac:dyDescent="0.35">
      <c r="A12" s="32" t="s">
        <v>80</v>
      </c>
      <c r="B12" s="61" t="s">
        <v>81</v>
      </c>
      <c r="C12" s="61" t="s">
        <v>83</v>
      </c>
      <c r="D12" s="33" t="s">
        <v>84</v>
      </c>
      <c r="E12" s="34" t="s">
        <v>88</v>
      </c>
    </row>
    <row r="13" spans="1:8" x14ac:dyDescent="0.35">
      <c r="A13" s="19" t="s">
        <v>82</v>
      </c>
      <c r="B13" s="62">
        <v>159.55000000000001</v>
      </c>
      <c r="C13" s="62">
        <v>159.55000000000001</v>
      </c>
      <c r="D13" s="64"/>
      <c r="E13" s="65"/>
    </row>
    <row r="14" spans="1:8" x14ac:dyDescent="0.35">
      <c r="A14" s="19" t="s">
        <v>30</v>
      </c>
      <c r="B14" s="62">
        <v>485.2</v>
      </c>
      <c r="C14" s="62">
        <v>485.2</v>
      </c>
      <c r="D14" s="64"/>
      <c r="E14" s="66"/>
    </row>
    <row r="15" spans="1:8" x14ac:dyDescent="0.35">
      <c r="A15" s="19" t="s">
        <v>85</v>
      </c>
      <c r="B15" s="62">
        <v>465.3</v>
      </c>
      <c r="C15" s="62">
        <v>456.3</v>
      </c>
      <c r="D15" s="64"/>
      <c r="E15" s="67"/>
    </row>
    <row r="16" spans="1:8" x14ac:dyDescent="0.35">
      <c r="A16" s="19" t="s">
        <v>86</v>
      </c>
      <c r="B16" s="62">
        <v>666</v>
      </c>
      <c r="C16" s="62">
        <v>666.66</v>
      </c>
      <c r="D16" s="64"/>
      <c r="E16" s="67"/>
    </row>
    <row r="17" spans="1:7" x14ac:dyDescent="0.35">
      <c r="A17" s="19" t="s">
        <v>31</v>
      </c>
      <c r="B17" s="62">
        <v>852.14</v>
      </c>
      <c r="C17" s="62">
        <v>825.14</v>
      </c>
      <c r="D17" s="64"/>
      <c r="E17" s="67"/>
    </row>
    <row r="18" spans="1:7" ht="15" thickBot="1" x14ac:dyDescent="0.4">
      <c r="A18" s="35" t="s">
        <v>87</v>
      </c>
      <c r="B18" s="63">
        <v>135.30000000000001</v>
      </c>
      <c r="C18" s="63">
        <v>155.30000000000001</v>
      </c>
      <c r="D18" s="68"/>
      <c r="E18" s="69"/>
    </row>
    <row r="19" spans="1:7" x14ac:dyDescent="0.35">
      <c r="B19" s="52"/>
      <c r="C19" s="52"/>
    </row>
    <row r="21" spans="1:7" ht="37" customHeight="1" x14ac:dyDescent="0.35">
      <c r="A21" s="50" t="s">
        <v>90</v>
      </c>
      <c r="B21" s="128" t="s">
        <v>104</v>
      </c>
      <c r="C21" s="128"/>
      <c r="D21" s="128"/>
      <c r="E21" s="128"/>
      <c r="F21" s="128"/>
      <c r="G21" s="128"/>
    </row>
    <row r="23" spans="1:7" ht="36.65" customHeight="1" x14ac:dyDescent="0.35">
      <c r="A23" s="50" t="s">
        <v>91</v>
      </c>
      <c r="B23" s="128" t="s">
        <v>106</v>
      </c>
      <c r="C23" s="128"/>
      <c r="D23" s="128"/>
      <c r="E23" s="128"/>
      <c r="F23" s="128"/>
      <c r="G23" s="128"/>
    </row>
  </sheetData>
  <mergeCells count="2">
    <mergeCell ref="B21:G21"/>
    <mergeCell ref="B23:G23"/>
  </mergeCells>
  <hyperlinks>
    <hyperlink ref="B3" r:id="rId1" xr:uid="{E28AA613-6FD1-42AF-9FE8-893D6E7B10D5}"/>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220CC-F028-4CE8-AEA6-87761280D45F}">
  <sheetPr codeName="Feuil2">
    <tabColor theme="7" tint="0.79998168889431442"/>
  </sheetPr>
  <dimension ref="A1:K17"/>
  <sheetViews>
    <sheetView workbookViewId="0">
      <selection activeCell="M9" sqref="M9"/>
    </sheetView>
  </sheetViews>
  <sheetFormatPr defaultColWidth="10.90625" defaultRowHeight="14.5" x14ac:dyDescent="0.35"/>
  <cols>
    <col min="1" max="1" width="20.81640625" customWidth="1"/>
    <col min="2" max="4" width="11.453125" style="52"/>
  </cols>
  <sheetData>
    <row r="1" spans="1:11" x14ac:dyDescent="0.35">
      <c r="A1" t="s">
        <v>64</v>
      </c>
      <c r="C1" s="52" t="s">
        <v>70</v>
      </c>
      <c r="D1" s="73">
        <f ca="1">TODAY()</f>
        <v>44495</v>
      </c>
    </row>
    <row r="2" spans="1:11" x14ac:dyDescent="0.35">
      <c r="D2" s="73"/>
    </row>
    <row r="3" spans="1:11" x14ac:dyDescent="0.35">
      <c r="A3" s="92" t="s">
        <v>123</v>
      </c>
      <c r="B3" s="93"/>
      <c r="C3" s="93"/>
      <c r="D3" s="94"/>
      <c r="E3" s="95"/>
      <c r="F3" s="95"/>
      <c r="G3" s="95"/>
      <c r="H3" s="95"/>
      <c r="I3" s="95"/>
      <c r="J3" s="95"/>
      <c r="K3" s="95"/>
    </row>
    <row r="4" spans="1:11" ht="15" thickBot="1" x14ac:dyDescent="0.4"/>
    <row r="5" spans="1:11" x14ac:dyDescent="0.35">
      <c r="A5" s="1" t="s">
        <v>54</v>
      </c>
      <c r="B5" s="74" t="s">
        <v>55</v>
      </c>
      <c r="C5" s="74" t="s">
        <v>56</v>
      </c>
      <c r="D5" s="74" t="s">
        <v>57</v>
      </c>
      <c r="E5" s="12" t="s">
        <v>107</v>
      </c>
      <c r="F5" t="s">
        <v>58</v>
      </c>
    </row>
    <row r="6" spans="1:11" x14ac:dyDescent="0.35">
      <c r="A6" s="6" t="s">
        <v>9</v>
      </c>
      <c r="B6" s="75" t="s">
        <v>71</v>
      </c>
      <c r="C6" s="76">
        <v>10.5</v>
      </c>
      <c r="D6" s="75">
        <v>2</v>
      </c>
      <c r="E6" s="71"/>
    </row>
    <row r="7" spans="1:11" x14ac:dyDescent="0.35">
      <c r="A7" s="6" t="s">
        <v>10</v>
      </c>
      <c r="B7" s="75" t="s">
        <v>71</v>
      </c>
      <c r="C7" s="76">
        <v>10.7</v>
      </c>
      <c r="D7" s="75">
        <v>4</v>
      </c>
      <c r="E7" s="71"/>
    </row>
    <row r="8" spans="1:11" x14ac:dyDescent="0.35">
      <c r="A8" s="6" t="s">
        <v>11</v>
      </c>
      <c r="B8" s="75" t="s">
        <v>72</v>
      </c>
      <c r="C8" s="76">
        <v>12.8</v>
      </c>
      <c r="D8" s="75">
        <v>1</v>
      </c>
      <c r="E8" s="71"/>
    </row>
    <row r="9" spans="1:11" x14ac:dyDescent="0.35">
      <c r="A9" s="14"/>
      <c r="B9" s="75"/>
      <c r="C9" s="75"/>
      <c r="D9" s="75"/>
      <c r="E9" s="90"/>
    </row>
    <row r="10" spans="1:11" ht="15" thickBot="1" x14ac:dyDescent="0.4">
      <c r="A10" s="13" t="s">
        <v>25</v>
      </c>
      <c r="B10" s="77"/>
      <c r="C10" s="77"/>
      <c r="D10" s="77"/>
      <c r="E10" s="72"/>
    </row>
    <row r="11" spans="1:11" ht="15" thickBot="1" x14ac:dyDescent="0.4">
      <c r="A11" s="10" t="s">
        <v>59</v>
      </c>
      <c r="B11" s="78"/>
      <c r="C11" s="78"/>
      <c r="D11" s="79" t="s">
        <v>63</v>
      </c>
      <c r="E11" s="80"/>
    </row>
    <row r="12" spans="1:11" x14ac:dyDescent="0.35">
      <c r="A12" s="81" t="s">
        <v>61</v>
      </c>
      <c r="B12" s="82"/>
      <c r="C12" s="82" t="s">
        <v>56</v>
      </c>
      <c r="D12" s="82" t="s">
        <v>57</v>
      </c>
      <c r="E12" s="83" t="s">
        <v>107</v>
      </c>
    </row>
    <row r="13" spans="1:11" x14ac:dyDescent="0.35">
      <c r="A13" s="84" t="s">
        <v>15</v>
      </c>
      <c r="B13" s="85"/>
      <c r="C13" s="86">
        <f>'Séance 1 - Onglet 2'!B28</f>
        <v>2</v>
      </c>
      <c r="D13" s="85">
        <v>3</v>
      </c>
      <c r="E13" s="89"/>
    </row>
    <row r="14" spans="1:11" x14ac:dyDescent="0.35">
      <c r="A14" s="84" t="s">
        <v>17</v>
      </c>
      <c r="B14" s="85"/>
      <c r="C14" s="86">
        <f>'Séance 1 - Onglet 2'!B30</f>
        <v>3.5</v>
      </c>
      <c r="D14" s="85">
        <v>1</v>
      </c>
      <c r="E14" s="89"/>
    </row>
    <row r="15" spans="1:11" ht="15" thickBot="1" x14ac:dyDescent="0.4">
      <c r="A15" s="88"/>
      <c r="B15" s="87"/>
      <c r="C15" s="87"/>
      <c r="D15" s="87"/>
      <c r="E15" s="89"/>
    </row>
    <row r="16" spans="1:11" ht="15" thickBot="1" x14ac:dyDescent="0.4">
      <c r="A16" s="10" t="s">
        <v>60</v>
      </c>
      <c r="B16" s="78"/>
      <c r="C16" s="78"/>
      <c r="D16" s="79" t="s">
        <v>63</v>
      </c>
      <c r="E16" s="80"/>
    </row>
    <row r="17" spans="1:5" ht="15" thickBot="1" x14ac:dyDescent="0.4">
      <c r="A17" s="10" t="s">
        <v>62</v>
      </c>
      <c r="B17" s="78"/>
      <c r="C17" s="78"/>
      <c r="D17" s="78"/>
      <c r="E17" s="91"/>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74AE6-779F-4E62-89D0-BA4CAF48C0B2}">
  <sheetPr codeName="Feuil3">
    <tabColor theme="9" tint="0.79998168889431442"/>
  </sheetPr>
  <dimension ref="A1:F181"/>
  <sheetViews>
    <sheetView workbookViewId="0">
      <selection activeCell="I12" sqref="I12"/>
    </sheetView>
  </sheetViews>
  <sheetFormatPr defaultColWidth="10.90625" defaultRowHeight="14.5" x14ac:dyDescent="0.35"/>
  <cols>
    <col min="1" max="1" width="23.453125" style="11" customWidth="1"/>
    <col min="2" max="2" width="13" customWidth="1"/>
    <col min="3" max="6" width="10.81640625" style="52"/>
  </cols>
  <sheetData>
    <row r="1" spans="1:6" x14ac:dyDescent="0.35">
      <c r="A1" s="11" t="s">
        <v>124</v>
      </c>
    </row>
    <row r="4" spans="1:6" x14ac:dyDescent="0.35">
      <c r="A4" s="11" t="s">
        <v>49</v>
      </c>
      <c r="B4" t="s">
        <v>50</v>
      </c>
      <c r="C4" s="52" t="s">
        <v>52</v>
      </c>
      <c r="D4" s="52" t="s">
        <v>23</v>
      </c>
      <c r="E4" s="52" t="s">
        <v>51</v>
      </c>
      <c r="F4" s="52" t="s">
        <v>73</v>
      </c>
    </row>
    <row r="5" spans="1:6" x14ac:dyDescent="0.35">
      <c r="A5" s="51">
        <v>44351</v>
      </c>
      <c r="B5" t="s">
        <v>44</v>
      </c>
      <c r="C5" s="53">
        <v>2338</v>
      </c>
      <c r="D5" s="53">
        <f>C5-E5</f>
        <v>1705</v>
      </c>
      <c r="E5" s="53">
        <v>633</v>
      </c>
      <c r="F5" s="52">
        <f>MONTH(A5)</f>
        <v>6</v>
      </c>
    </row>
    <row r="6" spans="1:6" x14ac:dyDescent="0.35">
      <c r="A6" s="51">
        <v>44352</v>
      </c>
      <c r="B6" t="s">
        <v>45</v>
      </c>
      <c r="C6" s="53">
        <v>2305</v>
      </c>
      <c r="D6" s="53">
        <f t="shared" ref="D6:D69" si="0">C6-E6</f>
        <v>1675</v>
      </c>
      <c r="E6" s="53">
        <v>630</v>
      </c>
      <c r="F6" s="52">
        <f t="shared" ref="F6:F69" si="1">MONTH(A6)</f>
        <v>6</v>
      </c>
    </row>
    <row r="7" spans="1:6" x14ac:dyDescent="0.35">
      <c r="A7" s="51">
        <v>44353</v>
      </c>
      <c r="B7" t="s">
        <v>46</v>
      </c>
      <c r="C7" s="53">
        <v>2287</v>
      </c>
      <c r="D7" s="53">
        <f t="shared" si="0"/>
        <v>1659</v>
      </c>
      <c r="E7" s="53">
        <v>628</v>
      </c>
      <c r="F7" s="52">
        <f t="shared" si="1"/>
        <v>6</v>
      </c>
    </row>
    <row r="8" spans="1:6" x14ac:dyDescent="0.35">
      <c r="A8" s="51">
        <v>44355</v>
      </c>
      <c r="B8" t="s">
        <v>47</v>
      </c>
      <c r="C8" s="53">
        <v>1770</v>
      </c>
      <c r="D8" s="53">
        <f t="shared" si="0"/>
        <v>1193</v>
      </c>
      <c r="E8" s="53">
        <v>577</v>
      </c>
      <c r="F8" s="52">
        <f t="shared" si="1"/>
        <v>6</v>
      </c>
    </row>
    <row r="9" spans="1:6" x14ac:dyDescent="0.35">
      <c r="A9" s="51">
        <v>44356</v>
      </c>
      <c r="B9" t="s">
        <v>48</v>
      </c>
      <c r="C9" s="53">
        <v>2148</v>
      </c>
      <c r="D9" s="53">
        <f t="shared" si="0"/>
        <v>1534</v>
      </c>
      <c r="E9" s="53">
        <v>614</v>
      </c>
      <c r="F9" s="52">
        <f t="shared" si="1"/>
        <v>6</v>
      </c>
    </row>
    <row r="10" spans="1:6" x14ac:dyDescent="0.35">
      <c r="A10" s="51">
        <v>44357</v>
      </c>
      <c r="B10" t="s">
        <v>53</v>
      </c>
      <c r="C10" s="53">
        <v>2853</v>
      </c>
      <c r="D10" s="53">
        <f t="shared" si="0"/>
        <v>2168</v>
      </c>
      <c r="E10" s="53">
        <v>685</v>
      </c>
      <c r="F10" s="52">
        <f t="shared" si="1"/>
        <v>6</v>
      </c>
    </row>
    <row r="11" spans="1:6" x14ac:dyDescent="0.35">
      <c r="A11" s="51">
        <v>44358</v>
      </c>
      <c r="B11" t="s">
        <v>44</v>
      </c>
      <c r="C11" s="53">
        <v>1902</v>
      </c>
      <c r="D11" s="53">
        <f t="shared" si="0"/>
        <v>1312</v>
      </c>
      <c r="E11" s="53">
        <v>590</v>
      </c>
      <c r="F11" s="52">
        <f t="shared" si="1"/>
        <v>6</v>
      </c>
    </row>
    <row r="12" spans="1:6" x14ac:dyDescent="0.35">
      <c r="A12" s="51">
        <v>44359</v>
      </c>
      <c r="B12" t="s">
        <v>45</v>
      </c>
      <c r="C12" s="53">
        <v>3110</v>
      </c>
      <c r="D12" s="53">
        <f t="shared" si="0"/>
        <v>2399</v>
      </c>
      <c r="E12" s="53">
        <v>711</v>
      </c>
      <c r="F12" s="52">
        <f t="shared" si="1"/>
        <v>6</v>
      </c>
    </row>
    <row r="13" spans="1:6" x14ac:dyDescent="0.35">
      <c r="A13" s="51">
        <v>44360</v>
      </c>
      <c r="B13" t="s">
        <v>46</v>
      </c>
      <c r="C13" s="53">
        <v>2036</v>
      </c>
      <c r="D13" s="53">
        <f t="shared" si="0"/>
        <v>1433</v>
      </c>
      <c r="E13" s="53">
        <v>603</v>
      </c>
      <c r="F13" s="52">
        <f t="shared" si="1"/>
        <v>6</v>
      </c>
    </row>
    <row r="14" spans="1:6" x14ac:dyDescent="0.35">
      <c r="A14" s="51">
        <v>44362</v>
      </c>
      <c r="B14" t="s">
        <v>47</v>
      </c>
      <c r="C14" s="53">
        <v>2016</v>
      </c>
      <c r="D14" s="53">
        <f t="shared" si="0"/>
        <v>1415</v>
      </c>
      <c r="E14" s="53">
        <v>601</v>
      </c>
      <c r="F14" s="52">
        <f t="shared" si="1"/>
        <v>6</v>
      </c>
    </row>
    <row r="15" spans="1:6" x14ac:dyDescent="0.35">
      <c r="A15" s="51">
        <v>44363</v>
      </c>
      <c r="B15" t="s">
        <v>48</v>
      </c>
      <c r="C15" s="53">
        <v>2468</v>
      </c>
      <c r="D15" s="53">
        <f t="shared" si="0"/>
        <v>1822</v>
      </c>
      <c r="E15" s="53">
        <v>646</v>
      </c>
      <c r="F15" s="52">
        <f t="shared" si="1"/>
        <v>6</v>
      </c>
    </row>
    <row r="16" spans="1:6" x14ac:dyDescent="0.35">
      <c r="A16" s="51">
        <v>44364</v>
      </c>
      <c r="B16" t="s">
        <v>53</v>
      </c>
      <c r="C16" s="53">
        <v>3052</v>
      </c>
      <c r="D16" s="53">
        <f t="shared" si="0"/>
        <v>2347</v>
      </c>
      <c r="E16" s="53">
        <v>705</v>
      </c>
      <c r="F16" s="52">
        <f t="shared" si="1"/>
        <v>6</v>
      </c>
    </row>
    <row r="17" spans="1:6" x14ac:dyDescent="0.35">
      <c r="A17" s="51">
        <v>44365</v>
      </c>
      <c r="B17" t="s">
        <v>44</v>
      </c>
      <c r="C17" s="53">
        <v>2035</v>
      </c>
      <c r="D17" s="53">
        <f t="shared" si="0"/>
        <v>1432</v>
      </c>
      <c r="E17" s="53">
        <v>603</v>
      </c>
      <c r="F17" s="52">
        <f t="shared" si="1"/>
        <v>6</v>
      </c>
    </row>
    <row r="18" spans="1:6" x14ac:dyDescent="0.35">
      <c r="A18" s="51">
        <v>44366</v>
      </c>
      <c r="B18" t="s">
        <v>45</v>
      </c>
      <c r="C18" s="53">
        <v>2964</v>
      </c>
      <c r="D18" s="53">
        <f t="shared" si="0"/>
        <v>2268</v>
      </c>
      <c r="E18" s="53">
        <v>696</v>
      </c>
      <c r="F18" s="52">
        <f t="shared" si="1"/>
        <v>6</v>
      </c>
    </row>
    <row r="19" spans="1:6" x14ac:dyDescent="0.35">
      <c r="A19" s="51">
        <v>44367</v>
      </c>
      <c r="B19" t="s">
        <v>46</v>
      </c>
      <c r="C19" s="53">
        <v>2106</v>
      </c>
      <c r="D19" s="53">
        <f t="shared" si="0"/>
        <v>1496</v>
      </c>
      <c r="E19" s="53">
        <v>610</v>
      </c>
      <c r="F19" s="52">
        <f t="shared" si="1"/>
        <v>6</v>
      </c>
    </row>
    <row r="20" spans="1:6" x14ac:dyDescent="0.35">
      <c r="A20" s="51">
        <v>44369</v>
      </c>
      <c r="B20" t="s">
        <v>47</v>
      </c>
      <c r="C20" s="53">
        <v>2335</v>
      </c>
      <c r="D20" s="53">
        <f t="shared" si="0"/>
        <v>1702</v>
      </c>
      <c r="E20" s="53">
        <v>633</v>
      </c>
      <c r="F20" s="52">
        <f t="shared" si="1"/>
        <v>6</v>
      </c>
    </row>
    <row r="21" spans="1:6" x14ac:dyDescent="0.35">
      <c r="A21" s="51">
        <v>44370</v>
      </c>
      <c r="B21" t="s">
        <v>48</v>
      </c>
      <c r="C21" s="53">
        <v>2513</v>
      </c>
      <c r="D21" s="53">
        <f t="shared" si="0"/>
        <v>1862</v>
      </c>
      <c r="E21" s="53">
        <v>651</v>
      </c>
      <c r="F21" s="52">
        <f t="shared" si="1"/>
        <v>6</v>
      </c>
    </row>
    <row r="22" spans="1:6" x14ac:dyDescent="0.35">
      <c r="A22" s="51">
        <v>44371</v>
      </c>
      <c r="B22" t="s">
        <v>53</v>
      </c>
      <c r="C22" s="53">
        <v>2695</v>
      </c>
      <c r="D22" s="53">
        <f t="shared" si="0"/>
        <v>2026</v>
      </c>
      <c r="E22" s="53">
        <v>669</v>
      </c>
      <c r="F22" s="52">
        <f t="shared" si="1"/>
        <v>6</v>
      </c>
    </row>
    <row r="23" spans="1:6" x14ac:dyDescent="0.35">
      <c r="A23" s="51">
        <v>44372</v>
      </c>
      <c r="B23" t="s">
        <v>44</v>
      </c>
      <c r="C23" s="53">
        <v>2425</v>
      </c>
      <c r="D23" s="53">
        <f t="shared" si="0"/>
        <v>1783</v>
      </c>
      <c r="E23" s="53">
        <v>642</v>
      </c>
      <c r="F23" s="52">
        <f t="shared" si="1"/>
        <v>6</v>
      </c>
    </row>
    <row r="24" spans="1:6" x14ac:dyDescent="0.35">
      <c r="A24" s="51">
        <v>44373</v>
      </c>
      <c r="B24" t="s">
        <v>45</v>
      </c>
      <c r="C24" s="53">
        <v>2594</v>
      </c>
      <c r="D24" s="53">
        <f t="shared" si="0"/>
        <v>1935</v>
      </c>
      <c r="E24" s="53">
        <v>659</v>
      </c>
      <c r="F24" s="52">
        <f t="shared" si="1"/>
        <v>6</v>
      </c>
    </row>
    <row r="25" spans="1:6" x14ac:dyDescent="0.35">
      <c r="A25" s="51">
        <v>44374</v>
      </c>
      <c r="B25" t="s">
        <v>46</v>
      </c>
      <c r="C25" s="53">
        <v>2677</v>
      </c>
      <c r="D25" s="53">
        <f t="shared" si="0"/>
        <v>2010</v>
      </c>
      <c r="E25" s="53">
        <v>667</v>
      </c>
      <c r="F25" s="52">
        <f t="shared" si="1"/>
        <v>6</v>
      </c>
    </row>
    <row r="26" spans="1:6" x14ac:dyDescent="0.35">
      <c r="A26" s="51">
        <v>44376</v>
      </c>
      <c r="B26" t="s">
        <v>47</v>
      </c>
      <c r="C26" s="53">
        <v>2136</v>
      </c>
      <c r="D26" s="53">
        <f t="shared" si="0"/>
        <v>1523</v>
      </c>
      <c r="E26" s="53">
        <v>613</v>
      </c>
      <c r="F26" s="52">
        <f t="shared" si="1"/>
        <v>6</v>
      </c>
    </row>
    <row r="27" spans="1:6" x14ac:dyDescent="0.35">
      <c r="A27" s="51">
        <v>44377</v>
      </c>
      <c r="B27" t="s">
        <v>48</v>
      </c>
      <c r="C27" s="53">
        <v>2321</v>
      </c>
      <c r="D27" s="53">
        <f t="shared" si="0"/>
        <v>1689</v>
      </c>
      <c r="E27" s="53">
        <v>632</v>
      </c>
      <c r="F27" s="52">
        <f t="shared" si="1"/>
        <v>6</v>
      </c>
    </row>
    <row r="28" spans="1:6" x14ac:dyDescent="0.35">
      <c r="A28" s="51">
        <v>44378</v>
      </c>
      <c r="B28" t="s">
        <v>53</v>
      </c>
      <c r="C28" s="53">
        <v>4040.3999999999996</v>
      </c>
      <c r="D28" s="53">
        <f t="shared" si="0"/>
        <v>3236.3999999999996</v>
      </c>
      <c r="E28" s="53">
        <v>804</v>
      </c>
      <c r="F28" s="52">
        <f t="shared" si="1"/>
        <v>7</v>
      </c>
    </row>
    <row r="29" spans="1:6" x14ac:dyDescent="0.35">
      <c r="A29" s="51">
        <v>44379</v>
      </c>
      <c r="B29" t="s">
        <v>44</v>
      </c>
      <c r="C29" s="53">
        <v>2167.1999999999998</v>
      </c>
      <c r="D29" s="53">
        <f t="shared" si="0"/>
        <v>1551.1999999999998</v>
      </c>
      <c r="E29" s="53">
        <v>616</v>
      </c>
      <c r="F29" s="52">
        <f t="shared" si="1"/>
        <v>7</v>
      </c>
    </row>
    <row r="30" spans="1:6" x14ac:dyDescent="0.35">
      <c r="A30" s="51">
        <f>A5+29</f>
        <v>44380</v>
      </c>
      <c r="B30" t="s">
        <v>45</v>
      </c>
      <c r="C30" s="53">
        <v>3612</v>
      </c>
      <c r="D30" s="53">
        <f t="shared" si="0"/>
        <v>2851</v>
      </c>
      <c r="E30" s="53">
        <v>761</v>
      </c>
      <c r="F30" s="52">
        <f t="shared" si="1"/>
        <v>7</v>
      </c>
    </row>
    <row r="31" spans="1:6" x14ac:dyDescent="0.35">
      <c r="A31" s="51">
        <f t="shared" ref="A31:A81" si="2">A6+29</f>
        <v>44381</v>
      </c>
      <c r="B31" t="s">
        <v>46</v>
      </c>
      <c r="C31" s="53">
        <v>2763.6</v>
      </c>
      <c r="D31" s="53">
        <f t="shared" si="0"/>
        <v>2087.6</v>
      </c>
      <c r="E31" s="53">
        <v>676</v>
      </c>
      <c r="F31" s="52">
        <f t="shared" si="1"/>
        <v>7</v>
      </c>
    </row>
    <row r="32" spans="1:6" x14ac:dyDescent="0.35">
      <c r="A32" s="51">
        <f t="shared" si="2"/>
        <v>44382</v>
      </c>
      <c r="B32" t="s">
        <v>47</v>
      </c>
      <c r="C32" s="53">
        <v>2449.1999999999998</v>
      </c>
      <c r="D32" s="53">
        <f t="shared" si="0"/>
        <v>1805.1999999999998</v>
      </c>
      <c r="E32" s="53">
        <v>644</v>
      </c>
      <c r="F32" s="52">
        <f t="shared" si="1"/>
        <v>7</v>
      </c>
    </row>
    <row r="33" spans="1:6" x14ac:dyDescent="0.35">
      <c r="A33" s="51">
        <f t="shared" si="2"/>
        <v>44384</v>
      </c>
      <c r="B33" t="s">
        <v>48</v>
      </c>
      <c r="C33" s="53">
        <v>2648.4</v>
      </c>
      <c r="D33" s="53">
        <f t="shared" si="0"/>
        <v>1984.4</v>
      </c>
      <c r="E33" s="53">
        <v>664</v>
      </c>
      <c r="F33" s="52">
        <f t="shared" si="1"/>
        <v>7</v>
      </c>
    </row>
    <row r="34" spans="1:6" x14ac:dyDescent="0.35">
      <c r="A34" s="51">
        <f t="shared" si="2"/>
        <v>44385</v>
      </c>
      <c r="B34" t="s">
        <v>53</v>
      </c>
      <c r="C34" s="53">
        <v>3193.2</v>
      </c>
      <c r="D34" s="53">
        <f t="shared" si="0"/>
        <v>2474.1999999999998</v>
      </c>
      <c r="E34" s="53">
        <v>719</v>
      </c>
      <c r="F34" s="52">
        <f t="shared" si="1"/>
        <v>7</v>
      </c>
    </row>
    <row r="35" spans="1:6" x14ac:dyDescent="0.35">
      <c r="A35" s="51">
        <f t="shared" si="2"/>
        <v>44386</v>
      </c>
      <c r="B35" t="s">
        <v>44</v>
      </c>
      <c r="C35" s="53">
        <v>3140.4</v>
      </c>
      <c r="D35" s="53">
        <f t="shared" si="0"/>
        <v>2426.4</v>
      </c>
      <c r="E35" s="53">
        <v>714</v>
      </c>
      <c r="F35" s="52">
        <f t="shared" si="1"/>
        <v>7</v>
      </c>
    </row>
    <row r="36" spans="1:6" x14ac:dyDescent="0.35">
      <c r="A36" s="51">
        <f t="shared" si="2"/>
        <v>44387</v>
      </c>
      <c r="B36" t="s">
        <v>45</v>
      </c>
      <c r="C36" s="53">
        <v>3639.6</v>
      </c>
      <c r="D36" s="53">
        <f t="shared" si="0"/>
        <v>2876.6</v>
      </c>
      <c r="E36" s="53">
        <v>763</v>
      </c>
      <c r="F36" s="52">
        <f t="shared" si="1"/>
        <v>7</v>
      </c>
    </row>
    <row r="37" spans="1:6" x14ac:dyDescent="0.35">
      <c r="A37" s="51">
        <f t="shared" si="2"/>
        <v>44388</v>
      </c>
      <c r="B37" t="s">
        <v>46</v>
      </c>
      <c r="C37" s="53">
        <v>3456</v>
      </c>
      <c r="D37" s="53">
        <f t="shared" si="0"/>
        <v>2711</v>
      </c>
      <c r="E37" s="53">
        <v>745</v>
      </c>
      <c r="F37" s="52">
        <f t="shared" si="1"/>
        <v>7</v>
      </c>
    </row>
    <row r="38" spans="1:6" x14ac:dyDescent="0.35">
      <c r="A38" s="51">
        <f t="shared" si="2"/>
        <v>44389</v>
      </c>
      <c r="B38" t="s">
        <v>47</v>
      </c>
      <c r="C38" s="53">
        <v>2684.4</v>
      </c>
      <c r="D38" s="53">
        <f t="shared" si="0"/>
        <v>2016.4</v>
      </c>
      <c r="E38" s="53">
        <v>668</v>
      </c>
      <c r="F38" s="52">
        <f t="shared" si="1"/>
        <v>7</v>
      </c>
    </row>
    <row r="39" spans="1:6" x14ac:dyDescent="0.35">
      <c r="A39" s="51">
        <f t="shared" si="2"/>
        <v>44391</v>
      </c>
      <c r="B39" t="s">
        <v>48</v>
      </c>
      <c r="C39" s="53">
        <v>2583.6</v>
      </c>
      <c r="D39" s="53">
        <f t="shared" si="0"/>
        <v>1925.6</v>
      </c>
      <c r="E39" s="53">
        <v>658</v>
      </c>
      <c r="F39" s="52">
        <f t="shared" si="1"/>
        <v>7</v>
      </c>
    </row>
    <row r="40" spans="1:6" x14ac:dyDescent="0.35">
      <c r="A40" s="51">
        <f t="shared" si="2"/>
        <v>44392</v>
      </c>
      <c r="B40" t="s">
        <v>53</v>
      </c>
      <c r="C40" s="53">
        <v>4249.2</v>
      </c>
      <c r="D40" s="53">
        <f t="shared" si="0"/>
        <v>3425.2</v>
      </c>
      <c r="E40" s="53">
        <v>824</v>
      </c>
      <c r="F40" s="52">
        <f t="shared" si="1"/>
        <v>7</v>
      </c>
    </row>
    <row r="41" spans="1:6" x14ac:dyDescent="0.35">
      <c r="A41" s="51">
        <f t="shared" si="2"/>
        <v>44393</v>
      </c>
      <c r="B41" t="s">
        <v>44</v>
      </c>
      <c r="C41" s="53">
        <v>2425.1999999999998</v>
      </c>
      <c r="D41" s="53">
        <f t="shared" si="0"/>
        <v>1783.1999999999998</v>
      </c>
      <c r="E41" s="53">
        <v>642</v>
      </c>
      <c r="F41" s="52">
        <f t="shared" si="1"/>
        <v>7</v>
      </c>
    </row>
    <row r="42" spans="1:6" x14ac:dyDescent="0.35">
      <c r="A42" s="51">
        <f t="shared" si="2"/>
        <v>44394</v>
      </c>
      <c r="B42" t="s">
        <v>45</v>
      </c>
      <c r="C42" s="53">
        <v>2874</v>
      </c>
      <c r="D42" s="53">
        <f t="shared" si="0"/>
        <v>2187</v>
      </c>
      <c r="E42" s="53">
        <v>687</v>
      </c>
      <c r="F42" s="52">
        <f t="shared" si="1"/>
        <v>7</v>
      </c>
    </row>
    <row r="43" spans="1:6" x14ac:dyDescent="0.35">
      <c r="A43" s="51">
        <f t="shared" si="2"/>
        <v>44395</v>
      </c>
      <c r="B43" t="s">
        <v>46</v>
      </c>
      <c r="C43" s="53">
        <v>2845.2</v>
      </c>
      <c r="D43" s="53">
        <f t="shared" si="0"/>
        <v>2161.1999999999998</v>
      </c>
      <c r="E43" s="53">
        <v>684</v>
      </c>
      <c r="F43" s="52">
        <f t="shared" si="1"/>
        <v>7</v>
      </c>
    </row>
    <row r="44" spans="1:6" x14ac:dyDescent="0.35">
      <c r="A44" s="51">
        <f t="shared" si="2"/>
        <v>44396</v>
      </c>
      <c r="B44" t="s">
        <v>47</v>
      </c>
      <c r="C44" s="53">
        <v>2272.7999999999997</v>
      </c>
      <c r="D44" s="53">
        <f t="shared" si="0"/>
        <v>1645.7999999999997</v>
      </c>
      <c r="E44" s="53">
        <v>627</v>
      </c>
      <c r="F44" s="52">
        <f t="shared" si="1"/>
        <v>7</v>
      </c>
    </row>
    <row r="45" spans="1:6" x14ac:dyDescent="0.35">
      <c r="A45" s="51">
        <f t="shared" si="2"/>
        <v>44398</v>
      </c>
      <c r="B45" t="s">
        <v>48</v>
      </c>
      <c r="C45" s="53">
        <v>2311.1999999999998</v>
      </c>
      <c r="D45" s="53">
        <f t="shared" si="0"/>
        <v>1680.1999999999998</v>
      </c>
      <c r="E45" s="53">
        <v>631</v>
      </c>
      <c r="F45" s="52">
        <f t="shared" si="1"/>
        <v>7</v>
      </c>
    </row>
    <row r="46" spans="1:6" x14ac:dyDescent="0.35">
      <c r="A46" s="51">
        <f t="shared" si="2"/>
        <v>44399</v>
      </c>
      <c r="B46" t="s">
        <v>53</v>
      </c>
      <c r="C46" s="53">
        <v>4093.2</v>
      </c>
      <c r="D46" s="53">
        <f t="shared" si="0"/>
        <v>3284.2</v>
      </c>
      <c r="E46" s="53">
        <v>809</v>
      </c>
      <c r="F46" s="52">
        <f t="shared" si="1"/>
        <v>7</v>
      </c>
    </row>
    <row r="47" spans="1:6" x14ac:dyDescent="0.35">
      <c r="A47" s="51">
        <f t="shared" si="2"/>
        <v>44400</v>
      </c>
      <c r="B47" t="s">
        <v>44</v>
      </c>
      <c r="C47" s="53">
        <v>2473.1999999999998</v>
      </c>
      <c r="D47" s="53">
        <f t="shared" si="0"/>
        <v>1826.1999999999998</v>
      </c>
      <c r="E47" s="53">
        <v>647</v>
      </c>
      <c r="F47" s="52">
        <f t="shared" si="1"/>
        <v>7</v>
      </c>
    </row>
    <row r="48" spans="1:6" x14ac:dyDescent="0.35">
      <c r="A48" s="51">
        <f t="shared" si="2"/>
        <v>44401</v>
      </c>
      <c r="B48" t="s">
        <v>45</v>
      </c>
      <c r="C48" s="53">
        <v>3309.6</v>
      </c>
      <c r="D48" s="53">
        <f t="shared" si="0"/>
        <v>2579.6</v>
      </c>
      <c r="E48" s="53">
        <v>730</v>
      </c>
      <c r="F48" s="52">
        <f t="shared" si="1"/>
        <v>7</v>
      </c>
    </row>
    <row r="49" spans="1:6" x14ac:dyDescent="0.35">
      <c r="A49" s="51">
        <f t="shared" si="2"/>
        <v>44402</v>
      </c>
      <c r="B49" t="s">
        <v>46</v>
      </c>
      <c r="C49" s="53">
        <v>3040.7999999999997</v>
      </c>
      <c r="D49" s="53">
        <f t="shared" si="0"/>
        <v>2336.7999999999997</v>
      </c>
      <c r="E49" s="53">
        <v>704</v>
      </c>
      <c r="F49" s="52">
        <f t="shared" si="1"/>
        <v>7</v>
      </c>
    </row>
    <row r="50" spans="1:6" x14ac:dyDescent="0.35">
      <c r="A50" s="51">
        <f t="shared" si="2"/>
        <v>44403</v>
      </c>
      <c r="B50" t="s">
        <v>47</v>
      </c>
      <c r="C50" s="53">
        <v>2736</v>
      </c>
      <c r="D50" s="53">
        <f t="shared" si="0"/>
        <v>2063</v>
      </c>
      <c r="E50" s="53">
        <v>673</v>
      </c>
      <c r="F50" s="52">
        <f t="shared" si="1"/>
        <v>7</v>
      </c>
    </row>
    <row r="51" spans="1:6" x14ac:dyDescent="0.35">
      <c r="A51" s="51">
        <f t="shared" si="2"/>
        <v>44405</v>
      </c>
      <c r="B51" t="s">
        <v>48</v>
      </c>
      <c r="C51" s="53">
        <v>3115.2</v>
      </c>
      <c r="D51" s="53">
        <f t="shared" si="0"/>
        <v>2404.1999999999998</v>
      </c>
      <c r="E51" s="53">
        <v>711</v>
      </c>
      <c r="F51" s="52">
        <f t="shared" si="1"/>
        <v>7</v>
      </c>
    </row>
    <row r="52" spans="1:6" x14ac:dyDescent="0.35">
      <c r="A52" s="51">
        <f t="shared" si="2"/>
        <v>44406</v>
      </c>
      <c r="B52" t="s">
        <v>53</v>
      </c>
      <c r="C52" s="53">
        <v>3248.4</v>
      </c>
      <c r="D52" s="53">
        <f t="shared" si="0"/>
        <v>2524.4</v>
      </c>
      <c r="E52" s="53">
        <v>724</v>
      </c>
      <c r="F52" s="52">
        <f t="shared" si="1"/>
        <v>7</v>
      </c>
    </row>
    <row r="53" spans="1:6" x14ac:dyDescent="0.35">
      <c r="A53" s="51">
        <f t="shared" si="2"/>
        <v>44407</v>
      </c>
      <c r="B53" t="s">
        <v>44</v>
      </c>
      <c r="C53" s="53">
        <v>2689.2</v>
      </c>
      <c r="D53" s="53">
        <f t="shared" si="0"/>
        <v>2021.1999999999998</v>
      </c>
      <c r="E53" s="53">
        <v>668</v>
      </c>
      <c r="F53" s="52">
        <f t="shared" si="1"/>
        <v>7</v>
      </c>
    </row>
    <row r="54" spans="1:6" x14ac:dyDescent="0.35">
      <c r="A54" s="51">
        <f t="shared" si="2"/>
        <v>44408</v>
      </c>
      <c r="B54" t="s">
        <v>45</v>
      </c>
      <c r="C54" s="53">
        <v>3253.2</v>
      </c>
      <c r="D54" s="53">
        <f t="shared" si="0"/>
        <v>2528.1999999999998</v>
      </c>
      <c r="E54" s="53">
        <v>725</v>
      </c>
      <c r="F54" s="52">
        <f t="shared" si="1"/>
        <v>7</v>
      </c>
    </row>
    <row r="55" spans="1:6" x14ac:dyDescent="0.35">
      <c r="A55" s="51">
        <f t="shared" si="2"/>
        <v>44409</v>
      </c>
      <c r="B55" t="s">
        <v>46</v>
      </c>
      <c r="C55" s="53">
        <v>2586</v>
      </c>
      <c r="D55" s="53">
        <f t="shared" si="0"/>
        <v>1928</v>
      </c>
      <c r="E55" s="53">
        <v>658</v>
      </c>
      <c r="F55" s="52">
        <f t="shared" si="1"/>
        <v>8</v>
      </c>
    </row>
    <row r="56" spans="1:6" x14ac:dyDescent="0.35">
      <c r="A56" s="51">
        <f t="shared" si="2"/>
        <v>44410</v>
      </c>
      <c r="B56" t="s">
        <v>47</v>
      </c>
      <c r="C56" s="53">
        <v>1770</v>
      </c>
      <c r="D56" s="53">
        <f t="shared" si="0"/>
        <v>1193</v>
      </c>
      <c r="E56" s="53">
        <v>577</v>
      </c>
      <c r="F56" s="52">
        <f t="shared" si="1"/>
        <v>8</v>
      </c>
    </row>
    <row r="57" spans="1:6" x14ac:dyDescent="0.35">
      <c r="A57" s="51">
        <f t="shared" si="2"/>
        <v>44411</v>
      </c>
      <c r="B57" t="s">
        <v>48</v>
      </c>
      <c r="C57" s="53">
        <v>2156</v>
      </c>
      <c r="D57" s="53">
        <f t="shared" si="0"/>
        <v>1541</v>
      </c>
      <c r="E57" s="53">
        <v>615</v>
      </c>
      <c r="F57" s="52">
        <f t="shared" si="1"/>
        <v>8</v>
      </c>
    </row>
    <row r="58" spans="1:6" x14ac:dyDescent="0.35">
      <c r="A58" s="51">
        <f t="shared" si="2"/>
        <v>44413</v>
      </c>
      <c r="B58" t="s">
        <v>53</v>
      </c>
      <c r="C58" s="53">
        <v>3189</v>
      </c>
      <c r="D58" s="53">
        <f t="shared" si="0"/>
        <v>2471</v>
      </c>
      <c r="E58" s="53">
        <v>718</v>
      </c>
      <c r="F58" s="52">
        <f t="shared" si="1"/>
        <v>8</v>
      </c>
    </row>
    <row r="59" spans="1:6" x14ac:dyDescent="0.35">
      <c r="A59" s="51">
        <f t="shared" si="2"/>
        <v>44414</v>
      </c>
      <c r="B59" t="s">
        <v>44</v>
      </c>
      <c r="C59" s="53">
        <v>2146</v>
      </c>
      <c r="D59" s="53">
        <f t="shared" si="0"/>
        <v>1532</v>
      </c>
      <c r="E59" s="53">
        <v>614</v>
      </c>
      <c r="F59" s="52">
        <f t="shared" si="1"/>
        <v>8</v>
      </c>
    </row>
    <row r="60" spans="1:6" x14ac:dyDescent="0.35">
      <c r="A60" s="51">
        <f t="shared" si="2"/>
        <v>44415</v>
      </c>
      <c r="B60" t="s">
        <v>45</v>
      </c>
      <c r="C60" s="53">
        <v>2347</v>
      </c>
      <c r="D60" s="53">
        <f t="shared" si="0"/>
        <v>1713</v>
      </c>
      <c r="E60" s="53">
        <v>634</v>
      </c>
      <c r="F60" s="52">
        <f t="shared" si="1"/>
        <v>8</v>
      </c>
    </row>
    <row r="61" spans="1:6" x14ac:dyDescent="0.35">
      <c r="A61" s="51">
        <f t="shared" si="2"/>
        <v>44416</v>
      </c>
      <c r="B61" t="s">
        <v>46</v>
      </c>
      <c r="C61" s="53">
        <v>2222</v>
      </c>
      <c r="D61" s="53">
        <f t="shared" si="0"/>
        <v>1600</v>
      </c>
      <c r="E61" s="53">
        <v>622</v>
      </c>
      <c r="F61" s="52">
        <f t="shared" si="1"/>
        <v>8</v>
      </c>
    </row>
    <row r="62" spans="1:6" x14ac:dyDescent="0.35">
      <c r="A62" s="51">
        <f t="shared" si="2"/>
        <v>44417</v>
      </c>
      <c r="B62" t="s">
        <v>47</v>
      </c>
      <c r="C62" s="53">
        <v>2062</v>
      </c>
      <c r="D62" s="53">
        <f t="shared" si="0"/>
        <v>1456</v>
      </c>
      <c r="E62" s="53">
        <v>606</v>
      </c>
      <c r="F62" s="52">
        <f t="shared" si="1"/>
        <v>8</v>
      </c>
    </row>
    <row r="63" spans="1:6" x14ac:dyDescent="0.35">
      <c r="A63" s="51">
        <f t="shared" si="2"/>
        <v>44418</v>
      </c>
      <c r="B63" t="s">
        <v>48</v>
      </c>
      <c r="C63" s="53">
        <v>2113</v>
      </c>
      <c r="D63" s="53">
        <f t="shared" si="0"/>
        <v>1502</v>
      </c>
      <c r="E63" s="53">
        <v>611</v>
      </c>
      <c r="F63" s="52">
        <f t="shared" si="1"/>
        <v>8</v>
      </c>
    </row>
    <row r="64" spans="1:6" x14ac:dyDescent="0.35">
      <c r="A64" s="51">
        <f t="shared" si="2"/>
        <v>44420</v>
      </c>
      <c r="B64" t="s">
        <v>53</v>
      </c>
      <c r="C64" s="53">
        <v>3504</v>
      </c>
      <c r="D64" s="53">
        <f t="shared" si="0"/>
        <v>2754</v>
      </c>
      <c r="E64" s="53">
        <v>750</v>
      </c>
      <c r="F64" s="52">
        <f t="shared" si="1"/>
        <v>8</v>
      </c>
    </row>
    <row r="65" spans="1:6" x14ac:dyDescent="0.35">
      <c r="A65" s="51">
        <f t="shared" si="2"/>
        <v>44421</v>
      </c>
      <c r="B65" t="s">
        <v>44</v>
      </c>
      <c r="C65" s="53">
        <v>2218</v>
      </c>
      <c r="D65" s="53">
        <f t="shared" si="0"/>
        <v>1597</v>
      </c>
      <c r="E65" s="53">
        <v>621</v>
      </c>
      <c r="F65" s="52">
        <f t="shared" si="1"/>
        <v>8</v>
      </c>
    </row>
    <row r="66" spans="1:6" x14ac:dyDescent="0.35">
      <c r="A66" s="51">
        <f t="shared" si="2"/>
        <v>44422</v>
      </c>
      <c r="B66" t="s">
        <v>45</v>
      </c>
      <c r="C66" s="53">
        <v>3251</v>
      </c>
      <c r="D66" s="53">
        <f t="shared" si="0"/>
        <v>2526</v>
      </c>
      <c r="E66" s="53">
        <v>725</v>
      </c>
      <c r="F66" s="52">
        <f t="shared" si="1"/>
        <v>8</v>
      </c>
    </row>
    <row r="67" spans="1:6" x14ac:dyDescent="0.35">
      <c r="A67" s="51">
        <f t="shared" si="2"/>
        <v>44423</v>
      </c>
      <c r="B67" t="s">
        <v>46</v>
      </c>
      <c r="C67" s="53">
        <v>2697</v>
      </c>
      <c r="D67" s="53">
        <f t="shared" si="0"/>
        <v>2028</v>
      </c>
      <c r="E67" s="53">
        <v>669</v>
      </c>
      <c r="F67" s="52">
        <f t="shared" si="1"/>
        <v>8</v>
      </c>
    </row>
    <row r="68" spans="1:6" x14ac:dyDescent="0.35">
      <c r="A68" s="51">
        <f t="shared" si="2"/>
        <v>44424</v>
      </c>
      <c r="B68" t="s">
        <v>47</v>
      </c>
      <c r="C68" s="53">
        <v>2097</v>
      </c>
      <c r="D68" s="53">
        <f t="shared" si="0"/>
        <v>1488</v>
      </c>
      <c r="E68" s="53">
        <v>609</v>
      </c>
      <c r="F68" s="52">
        <f t="shared" si="1"/>
        <v>8</v>
      </c>
    </row>
    <row r="69" spans="1:6" x14ac:dyDescent="0.35">
      <c r="A69" s="51">
        <f t="shared" si="2"/>
        <v>44425</v>
      </c>
      <c r="B69" t="s">
        <v>48</v>
      </c>
      <c r="C69" s="53">
        <v>2168</v>
      </c>
      <c r="D69" s="53">
        <f t="shared" si="0"/>
        <v>1552</v>
      </c>
      <c r="E69" s="53">
        <v>616</v>
      </c>
      <c r="F69" s="52">
        <f t="shared" si="1"/>
        <v>8</v>
      </c>
    </row>
    <row r="70" spans="1:6" x14ac:dyDescent="0.35">
      <c r="A70" s="51">
        <f t="shared" si="2"/>
        <v>44427</v>
      </c>
      <c r="B70" t="s">
        <v>53</v>
      </c>
      <c r="C70" s="53">
        <v>3417</v>
      </c>
      <c r="D70" s="53">
        <f t="shared" ref="D70:D81" si="3">C70-E70</f>
        <v>2676</v>
      </c>
      <c r="E70" s="53">
        <v>741</v>
      </c>
      <c r="F70" s="52">
        <f t="shared" ref="F70:F81" si="4">MONTH(A70)</f>
        <v>8</v>
      </c>
    </row>
    <row r="71" spans="1:6" x14ac:dyDescent="0.35">
      <c r="A71" s="51">
        <f t="shared" si="2"/>
        <v>44428</v>
      </c>
      <c r="B71" t="s">
        <v>44</v>
      </c>
      <c r="C71" s="53">
        <v>1959</v>
      </c>
      <c r="D71" s="53">
        <f t="shared" si="3"/>
        <v>1364</v>
      </c>
      <c r="E71" s="53">
        <v>595</v>
      </c>
      <c r="F71" s="52">
        <f t="shared" si="4"/>
        <v>8</v>
      </c>
    </row>
    <row r="72" spans="1:6" x14ac:dyDescent="0.35">
      <c r="A72" s="51">
        <f t="shared" si="2"/>
        <v>44429</v>
      </c>
      <c r="B72" t="s">
        <v>45</v>
      </c>
      <c r="C72" s="53">
        <v>3012</v>
      </c>
      <c r="D72" s="53">
        <f t="shared" si="3"/>
        <v>2311</v>
      </c>
      <c r="E72" s="53">
        <v>701</v>
      </c>
      <c r="F72" s="52">
        <f t="shared" si="4"/>
        <v>8</v>
      </c>
    </row>
    <row r="73" spans="1:6" x14ac:dyDescent="0.35">
      <c r="A73" s="51">
        <f t="shared" si="2"/>
        <v>44430</v>
      </c>
      <c r="B73" t="s">
        <v>46</v>
      </c>
      <c r="C73" s="53">
        <v>2265</v>
      </c>
      <c r="D73" s="53">
        <f t="shared" si="3"/>
        <v>1639</v>
      </c>
      <c r="E73" s="53">
        <v>626</v>
      </c>
      <c r="F73" s="52">
        <f t="shared" si="4"/>
        <v>8</v>
      </c>
    </row>
    <row r="74" spans="1:6" x14ac:dyDescent="0.35">
      <c r="A74" s="51">
        <f t="shared" si="2"/>
        <v>44431</v>
      </c>
      <c r="B74" t="s">
        <v>47</v>
      </c>
      <c r="C74" s="53">
        <v>2367</v>
      </c>
      <c r="D74" s="53">
        <f t="shared" si="3"/>
        <v>1731</v>
      </c>
      <c r="E74" s="53">
        <v>636</v>
      </c>
      <c r="F74" s="52">
        <f t="shared" si="4"/>
        <v>8</v>
      </c>
    </row>
    <row r="75" spans="1:6" x14ac:dyDescent="0.35">
      <c r="A75" s="51">
        <f t="shared" si="2"/>
        <v>44432</v>
      </c>
      <c r="B75" t="s">
        <v>48</v>
      </c>
      <c r="C75" s="53">
        <v>2610</v>
      </c>
      <c r="D75" s="53">
        <f t="shared" si="3"/>
        <v>1949</v>
      </c>
      <c r="E75" s="53">
        <v>661</v>
      </c>
      <c r="F75" s="52">
        <f t="shared" si="4"/>
        <v>8</v>
      </c>
    </row>
    <row r="76" spans="1:6" x14ac:dyDescent="0.35">
      <c r="A76" s="51">
        <f t="shared" si="2"/>
        <v>44434</v>
      </c>
      <c r="B76" t="s">
        <v>53</v>
      </c>
      <c r="C76" s="53">
        <v>3464</v>
      </c>
      <c r="D76" s="53">
        <f t="shared" si="3"/>
        <v>2718</v>
      </c>
      <c r="E76" s="53">
        <v>746</v>
      </c>
      <c r="F76" s="52">
        <f t="shared" si="4"/>
        <v>8</v>
      </c>
    </row>
    <row r="77" spans="1:6" x14ac:dyDescent="0.35">
      <c r="A77" s="51">
        <f t="shared" si="2"/>
        <v>44435</v>
      </c>
      <c r="B77" t="s">
        <v>44</v>
      </c>
      <c r="C77" s="53">
        <v>2292</v>
      </c>
      <c r="D77" s="53">
        <f t="shared" si="3"/>
        <v>1663</v>
      </c>
      <c r="E77" s="53">
        <v>629</v>
      </c>
      <c r="F77" s="52">
        <f t="shared" si="4"/>
        <v>8</v>
      </c>
    </row>
    <row r="78" spans="1:6" x14ac:dyDescent="0.35">
      <c r="A78" s="51">
        <f t="shared" si="2"/>
        <v>44436</v>
      </c>
      <c r="B78" t="s">
        <v>45</v>
      </c>
      <c r="C78" s="53">
        <v>2506</v>
      </c>
      <c r="D78" s="53">
        <f t="shared" si="3"/>
        <v>1856</v>
      </c>
      <c r="E78" s="53">
        <v>650</v>
      </c>
      <c r="F78" s="52">
        <f t="shared" si="4"/>
        <v>8</v>
      </c>
    </row>
    <row r="79" spans="1:6" x14ac:dyDescent="0.35">
      <c r="A79" s="51">
        <f t="shared" si="2"/>
        <v>44437</v>
      </c>
      <c r="B79" t="s">
        <v>46</v>
      </c>
      <c r="C79" s="53">
        <v>2681</v>
      </c>
      <c r="D79" s="53">
        <f t="shared" si="3"/>
        <v>2013</v>
      </c>
      <c r="E79" s="53">
        <v>668</v>
      </c>
      <c r="F79" s="52">
        <f t="shared" si="4"/>
        <v>8</v>
      </c>
    </row>
    <row r="80" spans="1:6" x14ac:dyDescent="0.35">
      <c r="A80" s="51">
        <f t="shared" si="2"/>
        <v>44438</v>
      </c>
      <c r="B80" t="s">
        <v>47</v>
      </c>
      <c r="C80" s="53">
        <v>2229</v>
      </c>
      <c r="D80" s="53">
        <f t="shared" si="3"/>
        <v>1607</v>
      </c>
      <c r="E80" s="53">
        <v>622</v>
      </c>
      <c r="F80" s="52">
        <f t="shared" si="4"/>
        <v>8</v>
      </c>
    </row>
    <row r="81" spans="1:6" x14ac:dyDescent="0.35">
      <c r="A81" s="51">
        <f t="shared" si="2"/>
        <v>44439</v>
      </c>
      <c r="B81" t="s">
        <v>48</v>
      </c>
      <c r="C81" s="53">
        <v>2012</v>
      </c>
      <c r="D81" s="53">
        <f t="shared" si="3"/>
        <v>1411</v>
      </c>
      <c r="E81" s="53">
        <v>601</v>
      </c>
      <c r="F81" s="52">
        <f t="shared" si="4"/>
        <v>8</v>
      </c>
    </row>
    <row r="82" spans="1:6" x14ac:dyDescent="0.35">
      <c r="A82" s="51"/>
    </row>
    <row r="83" spans="1:6" x14ac:dyDescent="0.35">
      <c r="A83" s="51"/>
    </row>
    <row r="84" spans="1:6" x14ac:dyDescent="0.35">
      <c r="A84" s="51"/>
    </row>
    <row r="85" spans="1:6" x14ac:dyDescent="0.35">
      <c r="A85" s="51"/>
    </row>
    <row r="86" spans="1:6" x14ac:dyDescent="0.35">
      <c r="A86" s="51"/>
    </row>
    <row r="87" spans="1:6" x14ac:dyDescent="0.35">
      <c r="A87" s="51"/>
    </row>
    <row r="88" spans="1:6" x14ac:dyDescent="0.35">
      <c r="A88" s="51"/>
    </row>
    <row r="89" spans="1:6" x14ac:dyDescent="0.35">
      <c r="A89" s="51"/>
    </row>
    <row r="90" spans="1:6" x14ac:dyDescent="0.35">
      <c r="A90" s="51"/>
    </row>
    <row r="91" spans="1:6" x14ac:dyDescent="0.35">
      <c r="A91" s="51"/>
    </row>
    <row r="92" spans="1:6" x14ac:dyDescent="0.35">
      <c r="A92" s="51"/>
    </row>
    <row r="93" spans="1:6" x14ac:dyDescent="0.35">
      <c r="A93" s="51"/>
    </row>
    <row r="94" spans="1:6" x14ac:dyDescent="0.35">
      <c r="A94" s="51"/>
    </row>
    <row r="95" spans="1:6" x14ac:dyDescent="0.35">
      <c r="A95" s="51"/>
    </row>
    <row r="96" spans="1:6" x14ac:dyDescent="0.35">
      <c r="A96" s="51"/>
    </row>
    <row r="97" spans="1:1" x14ac:dyDescent="0.35">
      <c r="A97" s="51"/>
    </row>
    <row r="98" spans="1:1" x14ac:dyDescent="0.35">
      <c r="A98" s="51"/>
    </row>
    <row r="99" spans="1:1" x14ac:dyDescent="0.35">
      <c r="A99" s="51"/>
    </row>
    <row r="100" spans="1:1" x14ac:dyDescent="0.35">
      <c r="A100" s="51"/>
    </row>
    <row r="101" spans="1:1" x14ac:dyDescent="0.35">
      <c r="A101" s="51"/>
    </row>
    <row r="102" spans="1:1" x14ac:dyDescent="0.35">
      <c r="A102" s="51"/>
    </row>
    <row r="103" spans="1:1" x14ac:dyDescent="0.35">
      <c r="A103" s="51"/>
    </row>
    <row r="104" spans="1:1" x14ac:dyDescent="0.35">
      <c r="A104" s="51"/>
    </row>
    <row r="105" spans="1:1" x14ac:dyDescent="0.35">
      <c r="A105" s="51"/>
    </row>
    <row r="106" spans="1:1" x14ac:dyDescent="0.35">
      <c r="A106" s="51"/>
    </row>
    <row r="107" spans="1:1" x14ac:dyDescent="0.35">
      <c r="A107" s="51"/>
    </row>
    <row r="108" spans="1:1" x14ac:dyDescent="0.35">
      <c r="A108" s="51"/>
    </row>
    <row r="109" spans="1:1" x14ac:dyDescent="0.35">
      <c r="A109" s="51"/>
    </row>
    <row r="110" spans="1:1" x14ac:dyDescent="0.35">
      <c r="A110" s="51"/>
    </row>
    <row r="111" spans="1:1" x14ac:dyDescent="0.35">
      <c r="A111" s="51"/>
    </row>
    <row r="112" spans="1:1" x14ac:dyDescent="0.35">
      <c r="A112" s="51"/>
    </row>
    <row r="113" spans="1:1" x14ac:dyDescent="0.35">
      <c r="A113" s="51"/>
    </row>
    <row r="114" spans="1:1" x14ac:dyDescent="0.35">
      <c r="A114" s="51"/>
    </row>
    <row r="115" spans="1:1" x14ac:dyDescent="0.35">
      <c r="A115" s="51"/>
    </row>
    <row r="116" spans="1:1" x14ac:dyDescent="0.35">
      <c r="A116" s="51"/>
    </row>
    <row r="117" spans="1:1" x14ac:dyDescent="0.35">
      <c r="A117" s="51"/>
    </row>
    <row r="118" spans="1:1" x14ac:dyDescent="0.35">
      <c r="A118" s="51"/>
    </row>
    <row r="119" spans="1:1" x14ac:dyDescent="0.35">
      <c r="A119" s="51"/>
    </row>
    <row r="120" spans="1:1" x14ac:dyDescent="0.35">
      <c r="A120" s="51"/>
    </row>
    <row r="121" spans="1:1" x14ac:dyDescent="0.35">
      <c r="A121" s="51"/>
    </row>
    <row r="122" spans="1:1" x14ac:dyDescent="0.35">
      <c r="A122" s="51"/>
    </row>
    <row r="123" spans="1:1" x14ac:dyDescent="0.35">
      <c r="A123" s="51"/>
    </row>
    <row r="124" spans="1:1" x14ac:dyDescent="0.35">
      <c r="A124" s="51"/>
    </row>
    <row r="125" spans="1:1" x14ac:dyDescent="0.35">
      <c r="A125" s="51"/>
    </row>
    <row r="126" spans="1:1" x14ac:dyDescent="0.35">
      <c r="A126" s="51"/>
    </row>
    <row r="127" spans="1:1" x14ac:dyDescent="0.35">
      <c r="A127" s="51"/>
    </row>
    <row r="128" spans="1:1" x14ac:dyDescent="0.35">
      <c r="A128" s="51"/>
    </row>
    <row r="129" spans="1:1" x14ac:dyDescent="0.35">
      <c r="A129" s="51"/>
    </row>
    <row r="130" spans="1:1" x14ac:dyDescent="0.35">
      <c r="A130" s="51"/>
    </row>
    <row r="131" spans="1:1" x14ac:dyDescent="0.35">
      <c r="A131" s="51"/>
    </row>
    <row r="132" spans="1:1" x14ac:dyDescent="0.35">
      <c r="A132" s="51"/>
    </row>
    <row r="133" spans="1:1" x14ac:dyDescent="0.35">
      <c r="A133" s="51"/>
    </row>
    <row r="134" spans="1:1" x14ac:dyDescent="0.35">
      <c r="A134" s="51"/>
    </row>
    <row r="135" spans="1:1" x14ac:dyDescent="0.35">
      <c r="A135" s="51"/>
    </row>
    <row r="136" spans="1:1" x14ac:dyDescent="0.35">
      <c r="A136" s="51"/>
    </row>
    <row r="137" spans="1:1" x14ac:dyDescent="0.35">
      <c r="A137" s="51"/>
    </row>
    <row r="138" spans="1:1" x14ac:dyDescent="0.35">
      <c r="A138" s="51"/>
    </row>
    <row r="139" spans="1:1" x14ac:dyDescent="0.35">
      <c r="A139" s="51"/>
    </row>
    <row r="140" spans="1:1" x14ac:dyDescent="0.35">
      <c r="A140" s="51"/>
    </row>
    <row r="141" spans="1:1" x14ac:dyDescent="0.35">
      <c r="A141" s="51"/>
    </row>
    <row r="142" spans="1:1" x14ac:dyDescent="0.35">
      <c r="A142" s="51"/>
    </row>
    <row r="143" spans="1:1" x14ac:dyDescent="0.35">
      <c r="A143" s="51"/>
    </row>
    <row r="144" spans="1:1" x14ac:dyDescent="0.35">
      <c r="A144" s="51"/>
    </row>
    <row r="145" spans="1:1" x14ac:dyDescent="0.35">
      <c r="A145" s="51"/>
    </row>
    <row r="146" spans="1:1" x14ac:dyDescent="0.35">
      <c r="A146" s="51"/>
    </row>
    <row r="147" spans="1:1" x14ac:dyDescent="0.35">
      <c r="A147" s="51"/>
    </row>
    <row r="148" spans="1:1" x14ac:dyDescent="0.35">
      <c r="A148" s="51"/>
    </row>
    <row r="149" spans="1:1" x14ac:dyDescent="0.35">
      <c r="A149" s="51"/>
    </row>
    <row r="150" spans="1:1" x14ac:dyDescent="0.35">
      <c r="A150" s="51"/>
    </row>
    <row r="151" spans="1:1" x14ac:dyDescent="0.35">
      <c r="A151" s="51"/>
    </row>
    <row r="152" spans="1:1" x14ac:dyDescent="0.35">
      <c r="A152" s="51"/>
    </row>
    <row r="153" spans="1:1" x14ac:dyDescent="0.35">
      <c r="A153" s="51"/>
    </row>
    <row r="154" spans="1:1" x14ac:dyDescent="0.35">
      <c r="A154" s="51"/>
    </row>
    <row r="155" spans="1:1" x14ac:dyDescent="0.35">
      <c r="A155" s="51"/>
    </row>
    <row r="156" spans="1:1" x14ac:dyDescent="0.35">
      <c r="A156" s="51"/>
    </row>
    <row r="157" spans="1:1" x14ac:dyDescent="0.35">
      <c r="A157" s="51"/>
    </row>
    <row r="158" spans="1:1" x14ac:dyDescent="0.35">
      <c r="A158" s="51"/>
    </row>
    <row r="159" spans="1:1" x14ac:dyDescent="0.35">
      <c r="A159" s="51"/>
    </row>
    <row r="160" spans="1:1" x14ac:dyDescent="0.35">
      <c r="A160" s="51"/>
    </row>
    <row r="161" spans="1:1" x14ac:dyDescent="0.35">
      <c r="A161" s="51"/>
    </row>
    <row r="162" spans="1:1" x14ac:dyDescent="0.35">
      <c r="A162" s="51"/>
    </row>
    <row r="163" spans="1:1" x14ac:dyDescent="0.35">
      <c r="A163" s="51"/>
    </row>
    <row r="164" spans="1:1" x14ac:dyDescent="0.35">
      <c r="A164" s="51"/>
    </row>
    <row r="165" spans="1:1" x14ac:dyDescent="0.35">
      <c r="A165" s="51"/>
    </row>
    <row r="166" spans="1:1" x14ac:dyDescent="0.35">
      <c r="A166" s="51"/>
    </row>
    <row r="167" spans="1:1" x14ac:dyDescent="0.35">
      <c r="A167" s="51"/>
    </row>
    <row r="168" spans="1:1" x14ac:dyDescent="0.35">
      <c r="A168" s="51"/>
    </row>
    <row r="169" spans="1:1" x14ac:dyDescent="0.35">
      <c r="A169" s="51"/>
    </row>
    <row r="170" spans="1:1" x14ac:dyDescent="0.35">
      <c r="A170" s="51"/>
    </row>
    <row r="171" spans="1:1" x14ac:dyDescent="0.35">
      <c r="A171" s="51"/>
    </row>
    <row r="172" spans="1:1" x14ac:dyDescent="0.35">
      <c r="A172" s="51"/>
    </row>
    <row r="173" spans="1:1" x14ac:dyDescent="0.35">
      <c r="A173" s="51"/>
    </row>
    <row r="174" spans="1:1" x14ac:dyDescent="0.35">
      <c r="A174" s="51"/>
    </row>
    <row r="175" spans="1:1" x14ac:dyDescent="0.35">
      <c r="A175" s="51"/>
    </row>
    <row r="176" spans="1:1" x14ac:dyDescent="0.35">
      <c r="A176" s="51"/>
    </row>
    <row r="177" spans="1:1" x14ac:dyDescent="0.35">
      <c r="A177" s="51"/>
    </row>
    <row r="178" spans="1:1" x14ac:dyDescent="0.35">
      <c r="A178" s="51"/>
    </row>
    <row r="179" spans="1:1" x14ac:dyDescent="0.35">
      <c r="A179" s="51"/>
    </row>
    <row r="180" spans="1:1" x14ac:dyDescent="0.35">
      <c r="A180" s="51"/>
    </row>
    <row r="181" spans="1:1" x14ac:dyDescent="0.35">
      <c r="A181" s="5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EA31A-9B74-4634-B8E5-069829B821F4}">
  <sheetPr>
    <tabColor theme="9" tint="0.79998168889431442"/>
  </sheetPr>
  <dimension ref="A2:A33"/>
  <sheetViews>
    <sheetView zoomScale="90" zoomScaleNormal="90" workbookViewId="0">
      <selection activeCell="A12" sqref="A12"/>
    </sheetView>
  </sheetViews>
  <sheetFormatPr defaultColWidth="10.90625" defaultRowHeight="14.5" x14ac:dyDescent="0.35"/>
  <cols>
    <col min="1" max="1" width="19.54296875" bestFit="1" customWidth="1"/>
    <col min="2" max="2" width="12.453125" bestFit="1" customWidth="1"/>
    <col min="3" max="3" width="16.81640625" bestFit="1" customWidth="1"/>
    <col min="4" max="4" width="14.81640625" bestFit="1" customWidth="1"/>
    <col min="5" max="5" width="19.54296875" bestFit="1" customWidth="1"/>
    <col min="6" max="6" width="20.1796875" bestFit="1" customWidth="1"/>
    <col min="7" max="8" width="10.1796875" bestFit="1" customWidth="1"/>
    <col min="9" max="9" width="9.1796875" bestFit="1" customWidth="1"/>
    <col min="10" max="15" width="12.453125" bestFit="1" customWidth="1"/>
  </cols>
  <sheetData>
    <row r="2" spans="1:1" x14ac:dyDescent="0.35">
      <c r="A2" s="54" t="s">
        <v>92</v>
      </c>
    </row>
    <row r="3" spans="1:1" x14ac:dyDescent="0.35">
      <c r="A3" t="s">
        <v>93</v>
      </c>
    </row>
    <row r="4" spans="1:1" x14ac:dyDescent="0.35">
      <c r="A4" t="s">
        <v>95</v>
      </c>
    </row>
    <row r="5" spans="1:1" x14ac:dyDescent="0.35">
      <c r="A5" t="s">
        <v>98</v>
      </c>
    </row>
    <row r="9" spans="1:1" x14ac:dyDescent="0.35">
      <c r="A9" s="55" t="s">
        <v>94</v>
      </c>
    </row>
    <row r="21" spans="1:1" x14ac:dyDescent="0.35">
      <c r="A21" s="55" t="s">
        <v>96</v>
      </c>
    </row>
    <row r="33" spans="1:1" x14ac:dyDescent="0.35">
      <c r="A33" s="55" t="s">
        <v>97</v>
      </c>
    </row>
  </sheetData>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AF7034356EE44A8761F7611E8C7DAF" ma:contentTypeVersion="2" ma:contentTypeDescription="Crée un document." ma:contentTypeScope="" ma:versionID="4931284ba9e17f4b7c21702fe4f829f2">
  <xsd:schema xmlns:xsd="http://www.w3.org/2001/XMLSchema" xmlns:xs="http://www.w3.org/2001/XMLSchema" xmlns:p="http://schemas.microsoft.com/office/2006/metadata/properties" xmlns:ns2="db5417d9-0dc8-4436-9920-78b60e26be33" targetNamespace="http://schemas.microsoft.com/office/2006/metadata/properties" ma:root="true" ma:fieldsID="32d45c24d27db83e39567ee369b675e0" ns2:_="">
    <xsd:import namespace="db5417d9-0dc8-4436-9920-78b60e26be33"/>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5417d9-0dc8-4436-9920-78b60e26be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85511C-F084-4886-A499-AF7C9896AEBA}"/>
</file>

<file path=customXml/itemProps2.xml><?xml version="1.0" encoding="utf-8"?>
<ds:datastoreItem xmlns:ds="http://schemas.openxmlformats.org/officeDocument/2006/customXml" ds:itemID="{48743EFB-A5D1-46E3-ADA5-12410C854FB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716BB9C-84B4-46FB-9419-E0F4FBA765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Séance 1 - Onglet 1</vt:lpstr>
      <vt:lpstr>Séance 1 - Onglet 2</vt:lpstr>
      <vt:lpstr>Séance 2 - Onglet 1</vt:lpstr>
      <vt:lpstr>Séance 2 - Onglet 2</vt:lpstr>
      <vt:lpstr>Séance 3 - Onglet 1 Les Données</vt:lpstr>
      <vt:lpstr>Séance 3 - Onglet 2</vt:lpstr>
      <vt:lpstr>tabmarche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dc:creator>
  <cp:lastModifiedBy>Léa HISLER-BAYLE</cp:lastModifiedBy>
  <dcterms:created xsi:type="dcterms:W3CDTF">2021-05-05T16:39:32Z</dcterms:created>
  <dcterms:modified xsi:type="dcterms:W3CDTF">2021-10-26T12:28:18Z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0x010100BEAF7034356EE44A8761F7611E8C7DAF</vt:lpwstr>
  </property>
</Properties>
</file>