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_h\Documents\Formation\2 - ESSCA\Refonte Premier Cycle\Data Description\TP5\FR\"/>
    </mc:Choice>
  </mc:AlternateContent>
  <xr:revisionPtr revIDLastSave="0" documentId="13_ncr:1_{0B09C4C3-9FF5-4353-9C71-CBBCCE72DBC3}" xr6:coauthVersionLast="47" xr6:coauthVersionMax="47" xr10:uidLastSave="{00000000-0000-0000-0000-000000000000}"/>
  <bookViews>
    <workbookView xWindow="-110" yWindow="-110" windowWidth="19420" windowHeight="10420" xr2:uid="{A7722720-1A02-495D-89FC-CF5CC9A178C5}"/>
  </bookViews>
  <sheets>
    <sheet name="Semestre 1" sheetId="1" r:id="rId1"/>
    <sheet name="Graphiques - S1" sheetId="2" r:id="rId2"/>
    <sheet name="Semestre 2" sheetId="4" r:id="rId3"/>
    <sheet name="Graphiques - S2" sheetId="5" r:id="rId4"/>
  </sheets>
  <definedNames>
    <definedName name="_xlchart.v1.0" hidden="1">'Semestre 1'!$B$1</definedName>
    <definedName name="_xlchart.v1.1" hidden="1">'Semestre 1'!$B$2:$B$46</definedName>
    <definedName name="_xlchart.v1.2" hidden="1">'Semestre 1'!$C$1</definedName>
    <definedName name="_xlchart.v1.3" hidden="1">'Semestre 1'!$C$2:$C$46</definedName>
    <definedName name="_xlchart.v1.4" hidden="1">'Semestre 1'!$B$2:$B$46</definedName>
    <definedName name="_xlchart.v1.5" hidden="1">'Semestre 1'!$C$2:$C$46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" i="1" l="1"/>
  <c r="E2" i="5"/>
  <c r="G24" i="1"/>
  <c r="G6" i="1"/>
  <c r="G7" i="1"/>
  <c r="G19" i="1"/>
  <c r="G20" i="1"/>
  <c r="E24" i="5"/>
  <c r="E23" i="5"/>
  <c r="E22" i="5"/>
  <c r="E21" i="5"/>
  <c r="E20" i="5"/>
  <c r="E5" i="5"/>
  <c r="E4" i="5"/>
  <c r="E3" i="5"/>
  <c r="E1" i="5"/>
  <c r="K28" i="4"/>
  <c r="K29" i="4"/>
  <c r="K30" i="4"/>
  <c r="K31" i="4"/>
  <c r="K32" i="4"/>
  <c r="K27" i="4"/>
  <c r="J29" i="4"/>
  <c r="J30" i="4" s="1"/>
  <c r="J31" i="4" s="1"/>
  <c r="J32" i="4" s="1"/>
  <c r="J28" i="4"/>
  <c r="J27" i="4"/>
  <c r="I33" i="4"/>
  <c r="I28" i="4"/>
  <c r="I29" i="4"/>
  <c r="I30" i="4"/>
  <c r="I31" i="4"/>
  <c r="I32" i="4"/>
  <c r="I27" i="4"/>
  <c r="G33" i="4"/>
  <c r="K5" i="4"/>
  <c r="K6" i="4"/>
  <c r="K7" i="4"/>
  <c r="K8" i="4"/>
  <c r="K9" i="4"/>
  <c r="K4" i="4"/>
  <c r="J6" i="4"/>
  <c r="J7" i="4" s="1"/>
  <c r="J8" i="4" s="1"/>
  <c r="J9" i="4" s="1"/>
  <c r="J5" i="4"/>
  <c r="J4" i="4"/>
  <c r="I10" i="4"/>
  <c r="I5" i="4"/>
  <c r="I6" i="4"/>
  <c r="I7" i="4"/>
  <c r="I8" i="4"/>
  <c r="I9" i="4"/>
  <c r="I4" i="4"/>
  <c r="G10" i="4"/>
  <c r="G23" i="1"/>
  <c r="G22" i="1"/>
  <c r="G21" i="1"/>
  <c r="G10" i="1"/>
  <c r="G9" i="1"/>
  <c r="G8" i="1"/>
  <c r="G11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G13" i="1" l="1"/>
</calcChain>
</file>

<file path=xl/sharedStrings.xml><?xml version="1.0" encoding="utf-8"?>
<sst xmlns="http://schemas.openxmlformats.org/spreadsheetml/2006/main" count="115" uniqueCount="49">
  <si>
    <t>Etudiant</t>
  </si>
  <si>
    <t>Note Examen Intermédiaire</t>
  </si>
  <si>
    <t xml:space="preserve">Note Contrôle Continu </t>
  </si>
  <si>
    <t>Maximum</t>
  </si>
  <si>
    <t xml:space="preserve">Minimum </t>
  </si>
  <si>
    <t xml:space="preserve">Premier quartile </t>
  </si>
  <si>
    <t>Médiane</t>
  </si>
  <si>
    <t xml:space="preserve">Troisième quartile </t>
  </si>
  <si>
    <t>Pivot gauche</t>
  </si>
  <si>
    <t>Limite gauche</t>
  </si>
  <si>
    <t>Pivot droit</t>
  </si>
  <si>
    <t>Limite droite</t>
  </si>
  <si>
    <t xml:space="preserve">Table 1 : résumés - variable "note examen intermédaire" </t>
  </si>
  <si>
    <t xml:space="preserve">Table 2 : résumés - variable "note contrôle continue" </t>
  </si>
  <si>
    <t>Egale au Maximum</t>
  </si>
  <si>
    <t>Egale au Minimum</t>
  </si>
  <si>
    <t>Pas égale au maximum</t>
  </si>
  <si>
    <t>Pas égale au minimum</t>
  </si>
  <si>
    <t>Nombre d'étudiants</t>
  </si>
  <si>
    <t>Table 1 : opérations - données associées à la variable "note examen intermédiaire"</t>
  </si>
  <si>
    <t>Moins de 5</t>
  </si>
  <si>
    <t>[5 ; 7[</t>
  </si>
  <si>
    <t>a_i</t>
  </si>
  <si>
    <t>f_i</t>
  </si>
  <si>
    <t>n_i^+</t>
  </si>
  <si>
    <t>f_i^+</t>
  </si>
  <si>
    <t>[7 ; 10[</t>
  </si>
  <si>
    <t>[10 ; 14[</t>
  </si>
  <si>
    <t>[14 ; 18[</t>
  </si>
  <si>
    <t>Plus de 18</t>
  </si>
  <si>
    <t>Total</t>
  </si>
  <si>
    <t>Note Contrôle Continu</t>
  </si>
  <si>
    <t>Table 2 : quartiles / pivots / limites - données associées à la variable "note examen intermédiaire"</t>
  </si>
  <si>
    <t>Premier quartile (q1)</t>
  </si>
  <si>
    <t>Médiane (mé)</t>
  </si>
  <si>
    <t>Troisième quartile (q3)</t>
  </si>
  <si>
    <t>Pivot gauche (pg)</t>
  </si>
  <si>
    <t>Pivot droit (pd)</t>
  </si>
  <si>
    <t>Limte droite (ld)</t>
  </si>
  <si>
    <t>Table 3 : opérations - données associées à la variable "note contrôle continu"</t>
  </si>
  <si>
    <t>Table 4 : quartiles / pivots / limites - données associées à la variable "note contrôle continu"</t>
  </si>
  <si>
    <t>égale à la limite droite par convention</t>
  </si>
  <si>
    <t>égale à limite gauche par convention</t>
  </si>
  <si>
    <t>Limite gauche (lg)</t>
  </si>
  <si>
    <t>lg</t>
  </si>
  <si>
    <t>q1 - lg</t>
  </si>
  <si>
    <t>me - q1</t>
  </si>
  <si>
    <t>q3 - me</t>
  </si>
  <si>
    <t>ld -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</si>
</sst>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11"/>
      <color rgb="FFFF0000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/>
    </xf>
    <xf numFmtId="0" fontId="0" fillId="2" borderId="1" xfId="0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3" fillId="3" borderId="1" xfId="0" applyFont="1" applyFill="1" applyBorder="1"/>
    <xf numFmtId="0" fontId="3" fillId="2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3" fillId="4" borderId="1" xfId="0" applyFont="1" applyFill="1" applyBorder="1"/>
    <xf numFmtId="0" fontId="1" fillId="5" borderId="1" xfId="0" applyFont="1" applyFill="1" applyBorder="1"/>
    <xf numFmtId="0" fontId="0" fillId="5" borderId="1" xfId="0" applyFill="1" applyBorder="1"/>
    <xf numFmtId="0" fontId="4" fillId="2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Note EI -</a:t>
            </a:r>
            <a:r>
              <a:rPr lang="fr-FR" baseline="0"/>
              <a:t> Semestre 2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'Graphiques - S2'!$D$1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ysClr val="window" lastClr="FFFFFF"/>
            </a:solidFill>
            <a:ln>
              <a:noFill/>
            </a:ln>
            <a:effectLst/>
          </c:spPr>
          <c:invertIfNegative val="0"/>
          <c:val>
            <c:numRef>
              <c:f>'Graphiques - S2'!$E$1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2F-4CB7-BF74-B8C88B454947}"/>
            </c:ext>
          </c:extLst>
        </c:ser>
        <c:ser>
          <c:idx val="1"/>
          <c:order val="1"/>
          <c:tx>
            <c:strRef>
              <c:f>'Graphiques - S2'!$D$2</c:f>
              <c:strCache>
                <c:ptCount val="1"/>
                <c:pt idx="0">
                  <c:v>q1 - lg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0"/>
            <c:val val="100"/>
            <c:spPr>
              <a:noFill/>
              <a:ln w="19050" cap="flat" cmpd="sng" algn="ctr">
                <a:solidFill>
                  <a:sysClr val="windowText" lastClr="000000"/>
                </a:solidFill>
                <a:round/>
              </a:ln>
              <a:effectLst/>
            </c:spPr>
          </c:errBars>
          <c:val>
            <c:numRef>
              <c:f>'Graphiques - S2'!$E$2</c:f>
              <c:numCache>
                <c:formatCode>General</c:formatCode>
                <c:ptCount val="1"/>
                <c:pt idx="0">
                  <c:v>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2F-4CB7-BF74-B8C88B454947}"/>
            </c:ext>
          </c:extLst>
        </c:ser>
        <c:ser>
          <c:idx val="2"/>
          <c:order val="2"/>
          <c:tx>
            <c:strRef>
              <c:f>'Graphiques - S2'!$D$3</c:f>
              <c:strCache>
                <c:ptCount val="1"/>
                <c:pt idx="0">
                  <c:v>me - q1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F2F-4CB7-BF74-B8C88B454947}"/>
              </c:ext>
            </c:extLst>
          </c:dPt>
          <c:val>
            <c:numRef>
              <c:f>'Graphiques - S2'!$E$3</c:f>
              <c:numCache>
                <c:formatCode>General</c:formatCode>
                <c:ptCount val="1"/>
                <c:pt idx="0">
                  <c:v>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2F-4CB7-BF74-B8C88B454947}"/>
            </c:ext>
          </c:extLst>
        </c:ser>
        <c:ser>
          <c:idx val="3"/>
          <c:order val="3"/>
          <c:tx>
            <c:strRef>
              <c:f>'Graphiques - S2'!$D$4</c:f>
              <c:strCache>
                <c:ptCount val="1"/>
                <c:pt idx="0">
                  <c:v>q3 - me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rgbClr val="0070C0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F2F-4CB7-BF74-B8C88B454947}"/>
              </c:ext>
            </c:extLst>
          </c:dPt>
          <c:val>
            <c:numRef>
              <c:f>'Graphiques - S2'!$E$4</c:f>
              <c:numCache>
                <c:formatCode>General</c:formatCode>
                <c:ptCount val="1"/>
                <c:pt idx="0">
                  <c:v>3.8333333333333339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2F-4CB7-BF74-B8C88B454947}"/>
            </c:ext>
          </c:extLst>
        </c:ser>
        <c:ser>
          <c:idx val="4"/>
          <c:order val="4"/>
          <c:tx>
            <c:strRef>
              <c:f>'Graphiques - S2'!$D$5</c:f>
              <c:strCache>
                <c:ptCount val="1"/>
                <c:pt idx="0">
                  <c:v>ld - q3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0"/>
            <c:val val="100"/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'Graphiques - S2'!$E$5</c:f>
              <c:numCache>
                <c:formatCode>General</c:formatCode>
                <c:ptCount val="1"/>
                <c:pt idx="0">
                  <c:v>5.6666666666666661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2F-4CB7-BF74-B8C88B454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2088399"/>
        <c:axId val="162087151"/>
      </c:barChart>
      <c:catAx>
        <c:axId val="162088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087151"/>
        <c:crosses val="autoZero"/>
        <c:auto val="1"/>
        <c:lblAlgn val="ctr"/>
        <c:lblOffset val="100"/>
        <c:noMultiLvlLbl val="0"/>
      </c:catAx>
      <c:valAx>
        <c:axId val="16208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088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Note CC - S2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'Graphiques - S2'!$D$20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ysClr val="window" lastClr="FFFFFF"/>
            </a:solidFill>
            <a:ln>
              <a:noFill/>
            </a:ln>
            <a:effectLst/>
          </c:spPr>
          <c:invertIfNegative val="0"/>
          <c:val>
            <c:numRef>
              <c:f>'Graphiques - S2'!$E$20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90-4162-B0C0-C5EB1B36F5DA}"/>
            </c:ext>
          </c:extLst>
        </c:ser>
        <c:ser>
          <c:idx val="1"/>
          <c:order val="1"/>
          <c:tx>
            <c:strRef>
              <c:f>'Graphiques - S2'!$D$21</c:f>
              <c:strCache>
                <c:ptCount val="1"/>
                <c:pt idx="0">
                  <c:v>q1 - lg</c:v>
                </c:pt>
              </c:strCache>
            </c:strRef>
          </c:tx>
          <c:spPr>
            <a:solidFill>
              <a:sysClr val="window" lastClr="FFFFFF"/>
            </a:solidFill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'Graphiques - S2'!$E$21</c:f>
              <c:numCache>
                <c:formatCode>General</c:formatCode>
                <c:ptCount val="1"/>
                <c:pt idx="0">
                  <c:v>4.083333333333333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90-4162-B0C0-C5EB1B36F5DA}"/>
            </c:ext>
          </c:extLst>
        </c:ser>
        <c:ser>
          <c:idx val="2"/>
          <c:order val="2"/>
          <c:tx>
            <c:strRef>
              <c:f>'Graphiques - S2'!$D$22</c:f>
              <c:strCache>
                <c:ptCount val="1"/>
                <c:pt idx="0">
                  <c:v>me - q1</c:v>
                </c:pt>
              </c:strCache>
            </c:strRef>
          </c:tx>
          <c:spPr>
            <a:solidFill>
              <a:schemeClr val="accent5"/>
            </a:solidFill>
            <a:ln w="19050">
              <a:solidFill>
                <a:schemeClr val="tx1"/>
              </a:solidFill>
            </a:ln>
            <a:effectLst/>
          </c:spPr>
          <c:invertIfNegative val="0"/>
          <c:val>
            <c:numRef>
              <c:f>'Graphiques - S2'!$E$22</c:f>
              <c:numCache>
                <c:formatCode>General</c:formatCode>
                <c:ptCount val="1"/>
                <c:pt idx="0">
                  <c:v>3.685897435897437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90-4162-B0C0-C5EB1B36F5DA}"/>
            </c:ext>
          </c:extLst>
        </c:ser>
        <c:ser>
          <c:idx val="3"/>
          <c:order val="3"/>
          <c:tx>
            <c:strRef>
              <c:f>'Graphiques - S2'!$D$23</c:f>
              <c:strCache>
                <c:ptCount val="1"/>
                <c:pt idx="0">
                  <c:v>q3 - me</c:v>
                </c:pt>
              </c:strCache>
            </c:strRef>
          </c:tx>
          <c:spPr>
            <a:solidFill>
              <a:schemeClr val="accent5"/>
            </a:solidFill>
            <a:ln w="19050">
              <a:solidFill>
                <a:schemeClr val="tx1"/>
              </a:solidFill>
            </a:ln>
            <a:effectLst/>
          </c:spPr>
          <c:invertIfNegative val="0"/>
          <c:val>
            <c:numRef>
              <c:f>'Graphiques - S2'!$E$23</c:f>
              <c:numCache>
                <c:formatCode>General</c:formatCode>
                <c:ptCount val="1"/>
                <c:pt idx="0">
                  <c:v>3.5307692307692307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90-4162-B0C0-C5EB1B36F5DA}"/>
            </c:ext>
          </c:extLst>
        </c:ser>
        <c:ser>
          <c:idx val="4"/>
          <c:order val="4"/>
          <c:tx>
            <c:strRef>
              <c:f>'Graphiques - S2'!$D$24</c:f>
              <c:strCache>
                <c:ptCount val="1"/>
                <c:pt idx="0">
                  <c:v>ld - q3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'Graphiques - S2'!$E$24</c:f>
              <c:numCache>
                <c:formatCode>General</c:formatCode>
                <c:ptCount val="1"/>
                <c:pt idx="0">
                  <c:v>5.6999999999999993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A90-4162-B0C0-C5EB1B36F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069599"/>
        <c:axId val="91059615"/>
      </c:barChart>
      <c:catAx>
        <c:axId val="91069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059615"/>
        <c:crosses val="autoZero"/>
        <c:auto val="1"/>
        <c:lblAlgn val="ctr"/>
        <c:lblOffset val="100"/>
        <c:noMultiLvlLbl val="0"/>
      </c:catAx>
      <c:valAx>
        <c:axId val="9105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069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Boîte à moustache - Note EI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Boîte à moustache - Note EI</a:t>
          </a:r>
        </a:p>
      </cx:txPr>
    </cx:title>
    <cx:plotArea>
      <cx:plotAreaRegion>
        <cx:series layoutId="boxWhisker" uniqueId="{6850DBA3-90A6-44CC-99F1-FB5393769E13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Boîte à moustache - CC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Boîte à moustache - CC</a:t>
          </a:r>
        </a:p>
      </cx:txPr>
    </cx:title>
    <cx:plotArea>
      <cx:plotAreaRegion>
        <cx:series layoutId="boxWhisker" uniqueId="{A91CA226-0A67-4312-87D9-D8465B18F7DA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>
      <cx:tx>
        <cx:txData>
          <cx:v>Notes 1er semestre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Notes 1er semestre</a:t>
          </a:r>
        </a:p>
      </cx:txPr>
    </cx:title>
    <cx:plotArea>
      <cx:plotAreaRegion>
        <cx:series layoutId="boxWhisker" uniqueId="{941D8E5C-1A8E-4620-A2DD-5DC543799DC2}">
          <cx:tx>
            <cx:txData>
              <cx:f>_xlchart.v1.0</cx:f>
              <cx:v>Note Examen Intermédiaire</cx:v>
            </cx:txData>
          </cx:tx>
          <cx:dataId val="0"/>
          <cx:layoutPr>
            <cx:visibility meanLine="1" meanMarker="0" nonoutliers="0" outliers="1"/>
            <cx:statistics quartileMethod="exclusive"/>
          </cx:layoutPr>
        </cx:series>
        <cx:series layoutId="boxWhisker" uniqueId="{5DD88FC7-15D5-4F6B-AF5B-A4C310BA58D9}">
          <cx:tx>
            <cx:txData>
              <cx:f>_xlchart.v1.2</cx:f>
              <cx:v>Note Contrôle Continu </cx:v>
            </cx:txData>
          </cx:tx>
          <cx:dataId val="1"/>
          <cx:layoutPr>
            <cx:visibility meanLine="1" meanMarker="0" nonoutliers="0" outliers="1"/>
            <cx:statistics quartileMethod="exclusive"/>
          </cx:layoutPr>
        </cx:series>
      </cx:plotAreaRegion>
      <cx:axis id="0">
        <cx:catScaling gapWidth="1.10000002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0</xdr:colOff>
      <xdr:row>14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phique 1">
              <a:extLst>
                <a:ext uri="{FF2B5EF4-FFF2-40B4-BE49-F238E27FC236}">
                  <a16:creationId xmlns:a16="http://schemas.microsoft.com/office/drawing/2014/main" id="{86F56FC5-89F3-4A30-BEB4-4E66E0BF24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6</xdr:col>
      <xdr:colOff>12700</xdr:colOff>
      <xdr:row>0</xdr:row>
      <xdr:rowOff>0</xdr:rowOff>
    </xdr:from>
    <xdr:to>
      <xdr:col>12</xdr:col>
      <xdr:colOff>12700</xdr:colOff>
      <xdr:row>14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phique 2">
              <a:extLst>
                <a:ext uri="{FF2B5EF4-FFF2-40B4-BE49-F238E27FC236}">
                  <a16:creationId xmlns:a16="http://schemas.microsoft.com/office/drawing/2014/main" id="{32349034-4AF5-4CCE-ABA6-9E2E7516C2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84700" y="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12</xdr:col>
      <xdr:colOff>31750</xdr:colOff>
      <xdr:row>0</xdr:row>
      <xdr:rowOff>0</xdr:rowOff>
    </xdr:from>
    <xdr:to>
      <xdr:col>18</xdr:col>
      <xdr:colOff>31750</xdr:colOff>
      <xdr:row>14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aphique 3">
              <a:extLst>
                <a:ext uri="{FF2B5EF4-FFF2-40B4-BE49-F238E27FC236}">
                  <a16:creationId xmlns:a16="http://schemas.microsoft.com/office/drawing/2014/main" id="{116917A6-423A-4F56-B43C-074B734F11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75750" y="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701675</xdr:colOff>
      <xdr:row>1</xdr:row>
      <xdr:rowOff>66675</xdr:rowOff>
    </xdr:from>
    <xdr:to>
      <xdr:col>12</xdr:col>
      <xdr:colOff>701675</xdr:colOff>
      <xdr:row>16</xdr:row>
      <xdr:rowOff>47625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AF92F79-6D5C-4AA3-8008-2C5B76DBB7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714375</xdr:colOff>
      <xdr:row>16</xdr:row>
      <xdr:rowOff>60325</xdr:rowOff>
    </xdr:from>
    <xdr:to>
      <xdr:col>12</xdr:col>
      <xdr:colOff>714375</xdr:colOff>
      <xdr:row>31</xdr:row>
      <xdr:rowOff>41275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F832813-843C-4902-96A5-61CB0FC53D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B3732-C3C8-4F82-B2DC-2939D3406301}">
  <dimension ref="A1:H46"/>
  <sheetViews>
    <sheetView tabSelected="1" zoomScale="80" zoomScaleNormal="80" workbookViewId="0">
      <selection activeCell="A4" sqref="A4"/>
    </sheetView>
  </sheetViews>
  <sheetFormatPr baseColWidth="10" defaultRowHeight="14.5" x14ac:dyDescent="0.35"/>
  <cols>
    <col min="2" max="3" width="30.6328125" style="3" customWidth="1"/>
    <col min="6" max="7" width="19.6328125" customWidth="1"/>
  </cols>
  <sheetData>
    <row r="1" spans="1:8" x14ac:dyDescent="0.35">
      <c r="A1" s="1" t="s">
        <v>0</v>
      </c>
      <c r="B1" s="2" t="s">
        <v>1</v>
      </c>
      <c r="C1" s="2" t="s">
        <v>2</v>
      </c>
    </row>
    <row r="2" spans="1:8" x14ac:dyDescent="0.35">
      <c r="A2" s="4">
        <v>1</v>
      </c>
      <c r="B2" s="3">
        <v>10</v>
      </c>
      <c r="C2" s="3">
        <v>11</v>
      </c>
    </row>
    <row r="3" spans="1:8" x14ac:dyDescent="0.35">
      <c r="A3" s="4">
        <f xml:space="preserve"> A2+1</f>
        <v>2</v>
      </c>
      <c r="B3" s="3">
        <v>12</v>
      </c>
      <c r="C3" s="3">
        <v>13</v>
      </c>
    </row>
    <row r="4" spans="1:8" x14ac:dyDescent="0.35">
      <c r="A4" s="4">
        <f t="shared" ref="A4:A46" si="0" xml:space="preserve"> A3+1</f>
        <v>3</v>
      </c>
      <c r="B4" s="3">
        <v>11</v>
      </c>
      <c r="C4" s="3">
        <v>10</v>
      </c>
      <c r="F4" s="1" t="s">
        <v>12</v>
      </c>
    </row>
    <row r="5" spans="1:8" x14ac:dyDescent="0.35">
      <c r="A5" s="4">
        <f t="shared" si="0"/>
        <v>4</v>
      </c>
      <c r="B5" s="3">
        <v>9</v>
      </c>
      <c r="C5" s="3">
        <v>12</v>
      </c>
    </row>
    <row r="6" spans="1:8" x14ac:dyDescent="0.35">
      <c r="A6" s="4">
        <f t="shared" si="0"/>
        <v>5</v>
      </c>
      <c r="B6" s="3">
        <v>3</v>
      </c>
      <c r="C6" s="3">
        <v>6</v>
      </c>
      <c r="F6" s="6" t="s">
        <v>3</v>
      </c>
      <c r="G6" s="5">
        <f xml:space="preserve"> MAX(B2:B46)</f>
        <v>19</v>
      </c>
    </row>
    <row r="7" spans="1:8" x14ac:dyDescent="0.35">
      <c r="A7" s="4">
        <f t="shared" si="0"/>
        <v>6</v>
      </c>
      <c r="B7" s="3">
        <v>5</v>
      </c>
      <c r="C7" s="3">
        <v>9</v>
      </c>
      <c r="F7" s="6" t="s">
        <v>4</v>
      </c>
      <c r="G7" s="5">
        <f xml:space="preserve"> MIN(B2:B46)</f>
        <v>1</v>
      </c>
    </row>
    <row r="8" spans="1:8" x14ac:dyDescent="0.35">
      <c r="A8" s="4">
        <f t="shared" si="0"/>
        <v>7</v>
      </c>
      <c r="B8" s="3">
        <v>14</v>
      </c>
      <c r="C8" s="3">
        <v>15</v>
      </c>
      <c r="F8" s="6" t="s">
        <v>5</v>
      </c>
      <c r="G8" s="5">
        <f xml:space="preserve"> QUARTILE(B2:B46,1)</f>
        <v>8</v>
      </c>
    </row>
    <row r="9" spans="1:8" x14ac:dyDescent="0.35">
      <c r="A9" s="4">
        <f t="shared" si="0"/>
        <v>8</v>
      </c>
      <c r="B9" s="3">
        <v>12</v>
      </c>
      <c r="C9" s="3">
        <v>12</v>
      </c>
      <c r="F9" s="6" t="s">
        <v>6</v>
      </c>
      <c r="G9" s="5">
        <f>QUARTILE(B2:B46,2)</f>
        <v>11</v>
      </c>
    </row>
    <row r="10" spans="1:8" x14ac:dyDescent="0.35">
      <c r="A10" s="4">
        <f t="shared" si="0"/>
        <v>9</v>
      </c>
      <c r="B10" s="3">
        <v>11</v>
      </c>
      <c r="C10" s="3">
        <v>13</v>
      </c>
      <c r="F10" s="6" t="s">
        <v>7</v>
      </c>
      <c r="G10" s="5">
        <f>QUARTILE(B2:B46,3)</f>
        <v>13</v>
      </c>
    </row>
    <row r="11" spans="1:8" x14ac:dyDescent="0.35">
      <c r="A11" s="4">
        <f t="shared" si="0"/>
        <v>10</v>
      </c>
      <c r="B11" s="3">
        <v>13</v>
      </c>
      <c r="C11" s="3">
        <v>12</v>
      </c>
      <c r="F11" s="6" t="s">
        <v>8</v>
      </c>
      <c r="G11" s="5">
        <f xml:space="preserve"> G8 - 1.5*(G10 - G8)</f>
        <v>0.5</v>
      </c>
    </row>
    <row r="12" spans="1:8" x14ac:dyDescent="0.35">
      <c r="A12" s="4">
        <f t="shared" si="0"/>
        <v>11</v>
      </c>
      <c r="B12" s="3">
        <v>11</v>
      </c>
      <c r="C12" s="3">
        <v>10</v>
      </c>
      <c r="F12" s="6" t="s">
        <v>9</v>
      </c>
      <c r="G12" s="5">
        <v>1</v>
      </c>
      <c r="H12" t="s">
        <v>15</v>
      </c>
    </row>
    <row r="13" spans="1:8" x14ac:dyDescent="0.35">
      <c r="A13" s="4">
        <f t="shared" si="0"/>
        <v>12</v>
      </c>
      <c r="B13" s="3">
        <v>8</v>
      </c>
      <c r="C13" s="3">
        <v>9</v>
      </c>
      <c r="F13" s="6" t="s">
        <v>10</v>
      </c>
      <c r="G13" s="5">
        <f xml:space="preserve"> G10 + 1.5*(G10-G8)</f>
        <v>20.5</v>
      </c>
    </row>
    <row r="14" spans="1:8" x14ac:dyDescent="0.35">
      <c r="A14" s="4">
        <f t="shared" si="0"/>
        <v>13</v>
      </c>
      <c r="B14" s="3">
        <v>18</v>
      </c>
      <c r="C14" s="3">
        <v>19</v>
      </c>
      <c r="F14" s="6" t="s">
        <v>11</v>
      </c>
      <c r="G14" s="5">
        <v>19</v>
      </c>
      <c r="H14" t="s">
        <v>14</v>
      </c>
    </row>
    <row r="15" spans="1:8" x14ac:dyDescent="0.35">
      <c r="A15" s="4">
        <f t="shared" si="0"/>
        <v>14</v>
      </c>
      <c r="B15" s="3">
        <v>9</v>
      </c>
      <c r="C15" s="3">
        <v>10</v>
      </c>
    </row>
    <row r="16" spans="1:8" x14ac:dyDescent="0.35">
      <c r="A16" s="4">
        <f t="shared" si="0"/>
        <v>15</v>
      </c>
      <c r="B16" s="3">
        <v>10</v>
      </c>
      <c r="C16" s="3">
        <v>9</v>
      </c>
    </row>
    <row r="17" spans="1:8" x14ac:dyDescent="0.35">
      <c r="A17" s="4">
        <f t="shared" si="0"/>
        <v>16</v>
      </c>
      <c r="B17" s="3">
        <v>11</v>
      </c>
      <c r="C17" s="3">
        <v>12</v>
      </c>
      <c r="F17" s="1" t="s">
        <v>13</v>
      </c>
    </row>
    <row r="18" spans="1:8" x14ac:dyDescent="0.35">
      <c r="A18" s="4">
        <f t="shared" si="0"/>
        <v>17</v>
      </c>
      <c r="B18" s="3">
        <v>12</v>
      </c>
      <c r="C18" s="3">
        <v>13</v>
      </c>
    </row>
    <row r="19" spans="1:8" x14ac:dyDescent="0.35">
      <c r="A19" s="4">
        <f t="shared" si="0"/>
        <v>18</v>
      </c>
      <c r="B19" s="3">
        <v>3</v>
      </c>
      <c r="C19" s="3">
        <v>5</v>
      </c>
      <c r="F19" s="6" t="s">
        <v>3</v>
      </c>
      <c r="G19" s="5">
        <f xml:space="preserve"> MAX(C2:C46)</f>
        <v>19</v>
      </c>
    </row>
    <row r="20" spans="1:8" x14ac:dyDescent="0.35">
      <c r="A20" s="4">
        <f t="shared" si="0"/>
        <v>19</v>
      </c>
      <c r="B20" s="3">
        <v>1</v>
      </c>
      <c r="C20" s="3">
        <v>5</v>
      </c>
      <c r="F20" s="6" t="s">
        <v>4</v>
      </c>
      <c r="G20" s="5">
        <f xml:space="preserve"> MIN(C2:C46)</f>
        <v>5</v>
      </c>
    </row>
    <row r="21" spans="1:8" x14ac:dyDescent="0.35">
      <c r="A21" s="4">
        <f t="shared" si="0"/>
        <v>20</v>
      </c>
      <c r="B21" s="3">
        <v>2</v>
      </c>
      <c r="C21" s="3">
        <v>9</v>
      </c>
      <c r="F21" s="6" t="s">
        <v>5</v>
      </c>
      <c r="G21" s="5">
        <f xml:space="preserve"> QUARTILE(C2:C46, 1)</f>
        <v>10</v>
      </c>
    </row>
    <row r="22" spans="1:8" x14ac:dyDescent="0.35">
      <c r="A22" s="4">
        <f t="shared" si="0"/>
        <v>21</v>
      </c>
      <c r="B22" s="3">
        <v>5</v>
      </c>
      <c r="C22" s="3">
        <v>13</v>
      </c>
      <c r="F22" s="6" t="s">
        <v>6</v>
      </c>
      <c r="G22" s="5">
        <f xml:space="preserve"> QUARTILE(C2:C46,2)</f>
        <v>12</v>
      </c>
    </row>
    <row r="23" spans="1:8" x14ac:dyDescent="0.35">
      <c r="A23" s="4">
        <f t="shared" si="0"/>
        <v>22</v>
      </c>
      <c r="B23" s="3">
        <v>6</v>
      </c>
      <c r="C23" s="3">
        <v>12</v>
      </c>
      <c r="F23" s="6" t="s">
        <v>7</v>
      </c>
      <c r="G23" s="5">
        <f xml:space="preserve"> QUARTILE(C2:C46,3)</f>
        <v>13</v>
      </c>
    </row>
    <row r="24" spans="1:8" x14ac:dyDescent="0.35">
      <c r="A24" s="4">
        <f t="shared" si="0"/>
        <v>23</v>
      </c>
      <c r="B24" s="3">
        <v>9</v>
      </c>
      <c r="C24" s="3">
        <v>10</v>
      </c>
      <c r="F24" s="6" t="s">
        <v>8</v>
      </c>
      <c r="G24" s="5">
        <f xml:space="preserve"> G21 - 1.5*(G23-G21)</f>
        <v>5.5</v>
      </c>
    </row>
    <row r="25" spans="1:8" x14ac:dyDescent="0.35">
      <c r="A25" s="4">
        <f t="shared" si="0"/>
        <v>24</v>
      </c>
      <c r="B25" s="3">
        <v>13</v>
      </c>
      <c r="C25" s="3">
        <v>12</v>
      </c>
      <c r="F25" s="6" t="s">
        <v>9</v>
      </c>
      <c r="G25" s="5">
        <v>6</v>
      </c>
      <c r="H25" t="s">
        <v>17</v>
      </c>
    </row>
    <row r="26" spans="1:8" x14ac:dyDescent="0.35">
      <c r="A26" s="4">
        <f t="shared" si="0"/>
        <v>25</v>
      </c>
      <c r="B26" s="3">
        <v>19</v>
      </c>
      <c r="C26" s="3">
        <v>17</v>
      </c>
      <c r="F26" s="6" t="s">
        <v>10</v>
      </c>
      <c r="G26" s="5">
        <f xml:space="preserve"> G23 + 1.5*(G23-G21)</f>
        <v>17.5</v>
      </c>
    </row>
    <row r="27" spans="1:8" x14ac:dyDescent="0.35">
      <c r="A27" s="4">
        <f t="shared" si="0"/>
        <v>26</v>
      </c>
      <c r="B27" s="3">
        <v>12</v>
      </c>
      <c r="C27" s="3">
        <v>12</v>
      </c>
      <c r="F27" s="6" t="s">
        <v>11</v>
      </c>
      <c r="G27" s="5">
        <v>17</v>
      </c>
      <c r="H27" t="s">
        <v>16</v>
      </c>
    </row>
    <row r="28" spans="1:8" x14ac:dyDescent="0.35">
      <c r="A28" s="4">
        <f t="shared" si="0"/>
        <v>27</v>
      </c>
      <c r="B28" s="3">
        <v>11</v>
      </c>
      <c r="C28" s="3">
        <v>11</v>
      </c>
    </row>
    <row r="29" spans="1:8" x14ac:dyDescent="0.35">
      <c r="A29" s="4">
        <f t="shared" si="0"/>
        <v>28</v>
      </c>
      <c r="B29" s="3">
        <v>10</v>
      </c>
      <c r="C29" s="3">
        <v>14</v>
      </c>
    </row>
    <row r="30" spans="1:8" x14ac:dyDescent="0.35">
      <c r="A30" s="4">
        <f t="shared" si="0"/>
        <v>29</v>
      </c>
      <c r="B30" s="3">
        <v>13</v>
      </c>
      <c r="C30" s="3">
        <v>12</v>
      </c>
    </row>
    <row r="31" spans="1:8" x14ac:dyDescent="0.35">
      <c r="A31" s="4">
        <f t="shared" si="0"/>
        <v>30</v>
      </c>
      <c r="B31" s="3">
        <v>16</v>
      </c>
      <c r="C31" s="3">
        <v>17</v>
      </c>
    </row>
    <row r="32" spans="1:8" x14ac:dyDescent="0.35">
      <c r="A32" s="4">
        <f t="shared" si="0"/>
        <v>31</v>
      </c>
      <c r="B32" s="3">
        <v>13</v>
      </c>
      <c r="C32" s="3">
        <v>16</v>
      </c>
    </row>
    <row r="33" spans="1:3" x14ac:dyDescent="0.35">
      <c r="A33" s="4">
        <f t="shared" si="0"/>
        <v>32</v>
      </c>
      <c r="B33" s="3">
        <v>15</v>
      </c>
      <c r="C33" s="3">
        <v>17</v>
      </c>
    </row>
    <row r="34" spans="1:3" x14ac:dyDescent="0.35">
      <c r="A34" s="4">
        <f t="shared" si="0"/>
        <v>33</v>
      </c>
      <c r="B34" s="3">
        <v>5</v>
      </c>
      <c r="C34" s="3">
        <v>10</v>
      </c>
    </row>
    <row r="35" spans="1:3" x14ac:dyDescent="0.35">
      <c r="A35" s="4">
        <f t="shared" si="0"/>
        <v>34</v>
      </c>
      <c r="B35" s="3">
        <v>4</v>
      </c>
      <c r="C35" s="3">
        <v>9</v>
      </c>
    </row>
    <row r="36" spans="1:3" x14ac:dyDescent="0.35">
      <c r="A36" s="4">
        <f t="shared" si="0"/>
        <v>35</v>
      </c>
      <c r="B36" s="3">
        <v>12</v>
      </c>
      <c r="C36" s="3">
        <v>11</v>
      </c>
    </row>
    <row r="37" spans="1:3" x14ac:dyDescent="0.35">
      <c r="A37" s="4">
        <f t="shared" si="0"/>
        <v>36</v>
      </c>
      <c r="B37" s="3">
        <v>15</v>
      </c>
      <c r="C37" s="3">
        <v>15</v>
      </c>
    </row>
    <row r="38" spans="1:3" x14ac:dyDescent="0.35">
      <c r="A38" s="4">
        <f t="shared" si="0"/>
        <v>37</v>
      </c>
      <c r="B38" s="3">
        <v>13</v>
      </c>
      <c r="C38" s="3">
        <v>14</v>
      </c>
    </row>
    <row r="39" spans="1:3" x14ac:dyDescent="0.35">
      <c r="A39" s="4">
        <f t="shared" si="0"/>
        <v>38</v>
      </c>
      <c r="B39" s="3">
        <v>12</v>
      </c>
      <c r="C39" s="3">
        <v>13</v>
      </c>
    </row>
    <row r="40" spans="1:3" x14ac:dyDescent="0.35">
      <c r="A40" s="4">
        <f t="shared" si="0"/>
        <v>39</v>
      </c>
      <c r="B40" s="3">
        <v>13</v>
      </c>
      <c r="C40" s="3">
        <v>10</v>
      </c>
    </row>
    <row r="41" spans="1:3" x14ac:dyDescent="0.35">
      <c r="A41" s="4">
        <f t="shared" si="0"/>
        <v>40</v>
      </c>
      <c r="B41" s="3">
        <v>6</v>
      </c>
      <c r="C41" s="3">
        <v>10</v>
      </c>
    </row>
    <row r="42" spans="1:3" x14ac:dyDescent="0.35">
      <c r="A42" s="4">
        <f t="shared" si="0"/>
        <v>41</v>
      </c>
      <c r="B42" s="3">
        <v>8</v>
      </c>
      <c r="C42" s="3">
        <v>9</v>
      </c>
    </row>
    <row r="43" spans="1:3" x14ac:dyDescent="0.35">
      <c r="A43" s="4">
        <f t="shared" si="0"/>
        <v>42</v>
      </c>
      <c r="B43" s="3">
        <v>9</v>
      </c>
      <c r="C43" s="3">
        <v>10</v>
      </c>
    </row>
    <row r="44" spans="1:3" x14ac:dyDescent="0.35">
      <c r="A44" s="4">
        <f t="shared" si="0"/>
        <v>43</v>
      </c>
      <c r="B44" s="3">
        <v>11</v>
      </c>
      <c r="C44" s="3">
        <v>14</v>
      </c>
    </row>
    <row r="45" spans="1:3" x14ac:dyDescent="0.35">
      <c r="A45" s="4">
        <f t="shared" si="0"/>
        <v>44</v>
      </c>
      <c r="B45" s="3">
        <v>8</v>
      </c>
      <c r="C45" s="3">
        <v>12</v>
      </c>
    </row>
    <row r="46" spans="1:3" x14ac:dyDescent="0.35">
      <c r="A46" s="4">
        <f t="shared" si="0"/>
        <v>45</v>
      </c>
      <c r="B46" s="3">
        <v>15</v>
      </c>
      <c r="C46" s="3">
        <v>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CC48B-AC82-477B-9356-FF321FC25475}">
  <dimension ref="A1"/>
  <sheetViews>
    <sheetView workbookViewId="0">
      <selection activeCell="M17" sqref="M17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E47A0-E407-43BC-A215-8BFCAA8D5CDC}">
  <dimension ref="A1:K44"/>
  <sheetViews>
    <sheetView workbookViewId="0">
      <selection activeCell="G38" sqref="G38"/>
    </sheetView>
  </sheetViews>
  <sheetFormatPr baseColWidth="10" defaultRowHeight="14.5" x14ac:dyDescent="0.35"/>
  <cols>
    <col min="1" max="1" width="27.6328125" customWidth="1"/>
    <col min="2" max="2" width="22.6328125" customWidth="1"/>
    <col min="6" max="6" width="27.6328125" customWidth="1"/>
    <col min="7" max="7" width="22.6328125" customWidth="1"/>
  </cols>
  <sheetData>
    <row r="1" spans="1:11" x14ac:dyDescent="0.35">
      <c r="A1" s="7" t="s">
        <v>1</v>
      </c>
      <c r="B1" s="6" t="s">
        <v>18</v>
      </c>
      <c r="F1" s="1" t="s">
        <v>19</v>
      </c>
    </row>
    <row r="2" spans="1:11" x14ac:dyDescent="0.35">
      <c r="A2" s="8" t="s">
        <v>20</v>
      </c>
      <c r="B2" s="9">
        <v>5</v>
      </c>
    </row>
    <row r="3" spans="1:11" x14ac:dyDescent="0.35">
      <c r="A3" s="8" t="s">
        <v>21</v>
      </c>
      <c r="B3" s="9">
        <v>10</v>
      </c>
      <c r="F3" s="7" t="s">
        <v>1</v>
      </c>
      <c r="G3" s="6" t="s">
        <v>18</v>
      </c>
      <c r="H3" s="6" t="s">
        <v>22</v>
      </c>
      <c r="I3" s="6" t="s">
        <v>23</v>
      </c>
      <c r="J3" s="6" t="s">
        <v>24</v>
      </c>
      <c r="K3" s="6" t="s">
        <v>25</v>
      </c>
    </row>
    <row r="4" spans="1:11" x14ac:dyDescent="0.35">
      <c r="A4" s="8" t="s">
        <v>26</v>
      </c>
      <c r="B4" s="9">
        <v>6</v>
      </c>
      <c r="F4" s="8" t="s">
        <v>20</v>
      </c>
      <c r="G4" s="9">
        <v>5</v>
      </c>
      <c r="H4" s="15">
        <v>2</v>
      </c>
      <c r="I4" s="9">
        <f>G4/$G$10</f>
        <v>0.1111111111111111</v>
      </c>
      <c r="J4" s="9">
        <f xml:space="preserve"> G4</f>
        <v>5</v>
      </c>
      <c r="K4" s="9">
        <f xml:space="preserve"> J4/$G$10</f>
        <v>0.1111111111111111</v>
      </c>
    </row>
    <row r="5" spans="1:11" x14ac:dyDescent="0.35">
      <c r="A5" s="8" t="s">
        <v>27</v>
      </c>
      <c r="B5" s="9">
        <v>12</v>
      </c>
      <c r="F5" s="8" t="s">
        <v>21</v>
      </c>
      <c r="G5" s="9">
        <v>10</v>
      </c>
      <c r="H5" s="9">
        <v>2</v>
      </c>
      <c r="I5" s="9">
        <f t="shared" ref="I5:I9" si="0">G5/$G$10</f>
        <v>0.22222222222222221</v>
      </c>
      <c r="J5" s="9">
        <f xml:space="preserve"> G5+J4</f>
        <v>15</v>
      </c>
      <c r="K5" s="9">
        <f t="shared" ref="K5:K9" si="1" xml:space="preserve"> J5/$G$10</f>
        <v>0.33333333333333331</v>
      </c>
    </row>
    <row r="6" spans="1:11" x14ac:dyDescent="0.35">
      <c r="A6" s="8" t="s">
        <v>28</v>
      </c>
      <c r="B6" s="9">
        <v>9</v>
      </c>
      <c r="F6" s="8" t="s">
        <v>26</v>
      </c>
      <c r="G6" s="9">
        <v>6</v>
      </c>
      <c r="H6" s="9">
        <v>3</v>
      </c>
      <c r="I6" s="9">
        <f t="shared" si="0"/>
        <v>0.13333333333333333</v>
      </c>
      <c r="J6" s="9">
        <f t="shared" ref="J6:J9" si="2" xml:space="preserve"> G6+J5</f>
        <v>21</v>
      </c>
      <c r="K6" s="9">
        <f t="shared" si="1"/>
        <v>0.46666666666666667</v>
      </c>
    </row>
    <row r="7" spans="1:11" x14ac:dyDescent="0.35">
      <c r="A7" s="8" t="s">
        <v>29</v>
      </c>
      <c r="B7" s="9">
        <v>3</v>
      </c>
      <c r="F7" s="8" t="s">
        <v>27</v>
      </c>
      <c r="G7" s="9">
        <v>12</v>
      </c>
      <c r="H7" s="9">
        <v>4</v>
      </c>
      <c r="I7" s="9">
        <f t="shared" si="0"/>
        <v>0.26666666666666666</v>
      </c>
      <c r="J7" s="9">
        <f t="shared" si="2"/>
        <v>33</v>
      </c>
      <c r="K7" s="9">
        <f t="shared" si="1"/>
        <v>0.73333333333333328</v>
      </c>
    </row>
    <row r="8" spans="1:11" x14ac:dyDescent="0.35">
      <c r="F8" s="8" t="s">
        <v>28</v>
      </c>
      <c r="G8" s="9">
        <v>9</v>
      </c>
      <c r="H8" s="9">
        <v>4</v>
      </c>
      <c r="I8" s="9">
        <f t="shared" si="0"/>
        <v>0.2</v>
      </c>
      <c r="J8" s="9">
        <f t="shared" si="2"/>
        <v>42</v>
      </c>
      <c r="K8" s="9">
        <f t="shared" si="1"/>
        <v>0.93333333333333335</v>
      </c>
    </row>
    <row r="9" spans="1:11" x14ac:dyDescent="0.35">
      <c r="F9" s="8" t="s">
        <v>29</v>
      </c>
      <c r="G9" s="9">
        <v>3</v>
      </c>
      <c r="H9" s="15">
        <v>2</v>
      </c>
      <c r="I9" s="9">
        <f t="shared" si="0"/>
        <v>6.6666666666666666E-2</v>
      </c>
      <c r="J9" s="9">
        <f t="shared" si="2"/>
        <v>45</v>
      </c>
      <c r="K9" s="9">
        <f t="shared" si="1"/>
        <v>1</v>
      </c>
    </row>
    <row r="10" spans="1:11" x14ac:dyDescent="0.35">
      <c r="F10" s="10" t="s">
        <v>30</v>
      </c>
      <c r="G10" s="11">
        <f xml:space="preserve"> SUM(G4:G9)</f>
        <v>45</v>
      </c>
      <c r="H10" s="12"/>
      <c r="I10" s="12">
        <f xml:space="preserve"> SUM(I4:I9)</f>
        <v>1</v>
      </c>
      <c r="J10" s="12"/>
      <c r="K10" s="12"/>
    </row>
    <row r="11" spans="1:11" x14ac:dyDescent="0.35">
      <c r="A11" s="7" t="s">
        <v>31</v>
      </c>
      <c r="B11" s="6" t="s">
        <v>18</v>
      </c>
    </row>
    <row r="12" spans="1:11" x14ac:dyDescent="0.35">
      <c r="A12" s="8" t="s">
        <v>20</v>
      </c>
      <c r="B12" s="9">
        <v>3</v>
      </c>
    </row>
    <row r="13" spans="1:11" x14ac:dyDescent="0.35">
      <c r="A13" s="8" t="s">
        <v>21</v>
      </c>
      <c r="B13" s="9">
        <v>8</v>
      </c>
      <c r="F13" s="1" t="s">
        <v>32</v>
      </c>
    </row>
    <row r="14" spans="1:11" x14ac:dyDescent="0.35">
      <c r="A14" s="8" t="s">
        <v>26</v>
      </c>
      <c r="B14" s="9">
        <v>9</v>
      </c>
    </row>
    <row r="15" spans="1:11" x14ac:dyDescent="0.35">
      <c r="A15" s="8" t="s">
        <v>27</v>
      </c>
      <c r="B15" s="9">
        <v>13</v>
      </c>
      <c r="F15" s="13" t="s">
        <v>33</v>
      </c>
      <c r="G15" s="14">
        <v>6.25</v>
      </c>
    </row>
    <row r="16" spans="1:11" x14ac:dyDescent="0.35">
      <c r="A16" s="8" t="s">
        <v>28</v>
      </c>
      <c r="B16" s="9">
        <v>10</v>
      </c>
      <c r="F16" s="13" t="s">
        <v>34</v>
      </c>
      <c r="G16" s="14">
        <v>10.5</v>
      </c>
    </row>
    <row r="17" spans="1:11" x14ac:dyDescent="0.35">
      <c r="A17" s="8" t="s">
        <v>29</v>
      </c>
      <c r="B17" s="9">
        <v>2</v>
      </c>
      <c r="F17" s="13" t="s">
        <v>35</v>
      </c>
      <c r="G17" s="14">
        <v>14.333333333333334</v>
      </c>
    </row>
    <row r="18" spans="1:11" x14ac:dyDescent="0.35">
      <c r="F18" s="13" t="s">
        <v>36</v>
      </c>
      <c r="G18" s="14">
        <v>-5.875</v>
      </c>
    </row>
    <row r="19" spans="1:11" x14ac:dyDescent="0.35">
      <c r="F19" s="13" t="s">
        <v>37</v>
      </c>
      <c r="G19" s="14">
        <v>26.458333333333336</v>
      </c>
    </row>
    <row r="20" spans="1:11" x14ac:dyDescent="0.35">
      <c r="F20" s="13" t="s">
        <v>43</v>
      </c>
      <c r="G20" s="14">
        <v>3</v>
      </c>
      <c r="H20" t="s">
        <v>42</v>
      </c>
    </row>
    <row r="21" spans="1:11" x14ac:dyDescent="0.35">
      <c r="F21" s="13" t="s">
        <v>38</v>
      </c>
      <c r="G21" s="14">
        <v>20</v>
      </c>
      <c r="H21" t="s">
        <v>41</v>
      </c>
    </row>
    <row r="24" spans="1:11" x14ac:dyDescent="0.35">
      <c r="F24" s="1" t="s">
        <v>39</v>
      </c>
    </row>
    <row r="26" spans="1:11" x14ac:dyDescent="0.35">
      <c r="F26" s="7" t="s">
        <v>1</v>
      </c>
      <c r="G26" s="6" t="s">
        <v>18</v>
      </c>
      <c r="H26" s="6" t="s">
        <v>22</v>
      </c>
      <c r="I26" s="6" t="s">
        <v>23</v>
      </c>
      <c r="J26" s="6" t="s">
        <v>24</v>
      </c>
      <c r="K26" s="6" t="s">
        <v>25</v>
      </c>
    </row>
    <row r="27" spans="1:11" x14ac:dyDescent="0.35">
      <c r="F27" s="8" t="s">
        <v>20</v>
      </c>
      <c r="G27" s="9">
        <v>3</v>
      </c>
      <c r="H27" s="15">
        <v>2</v>
      </c>
      <c r="I27" s="9">
        <f xml:space="preserve"> G27/$G$33</f>
        <v>6.6666666666666666E-2</v>
      </c>
      <c r="J27" s="9">
        <f>G27</f>
        <v>3</v>
      </c>
      <c r="K27" s="9">
        <f xml:space="preserve"> J27/$G$33</f>
        <v>6.6666666666666666E-2</v>
      </c>
    </row>
    <row r="28" spans="1:11" x14ac:dyDescent="0.35">
      <c r="F28" s="8" t="s">
        <v>21</v>
      </c>
      <c r="G28" s="9">
        <v>8</v>
      </c>
      <c r="H28" s="9">
        <v>2</v>
      </c>
      <c r="I28" s="9">
        <f t="shared" ref="I28:I32" si="3" xml:space="preserve"> G28/$G$33</f>
        <v>0.17777777777777778</v>
      </c>
      <c r="J28" s="9">
        <f>G28+J27</f>
        <v>11</v>
      </c>
      <c r="K28" s="9">
        <f t="shared" ref="K28:K32" si="4" xml:space="preserve"> J28/$G$33</f>
        <v>0.24444444444444444</v>
      </c>
    </row>
    <row r="29" spans="1:11" x14ac:dyDescent="0.35">
      <c r="F29" s="8" t="s">
        <v>26</v>
      </c>
      <c r="G29" s="9">
        <v>9</v>
      </c>
      <c r="H29" s="9">
        <v>3</v>
      </c>
      <c r="I29" s="9">
        <f t="shared" si="3"/>
        <v>0.2</v>
      </c>
      <c r="J29" s="9">
        <f t="shared" ref="J29:J32" si="5">G29+J28</f>
        <v>20</v>
      </c>
      <c r="K29" s="9">
        <f t="shared" si="4"/>
        <v>0.44444444444444442</v>
      </c>
    </row>
    <row r="30" spans="1:11" x14ac:dyDescent="0.35">
      <c r="F30" s="8" t="s">
        <v>27</v>
      </c>
      <c r="G30" s="9">
        <v>13</v>
      </c>
      <c r="H30" s="9">
        <v>4</v>
      </c>
      <c r="I30" s="9">
        <f t="shared" si="3"/>
        <v>0.28888888888888886</v>
      </c>
      <c r="J30" s="9">
        <f t="shared" si="5"/>
        <v>33</v>
      </c>
      <c r="K30" s="9">
        <f t="shared" si="4"/>
        <v>0.73333333333333328</v>
      </c>
    </row>
    <row r="31" spans="1:11" x14ac:dyDescent="0.35">
      <c r="F31" s="8" t="s">
        <v>28</v>
      </c>
      <c r="G31" s="9">
        <v>10</v>
      </c>
      <c r="H31" s="9">
        <v>4</v>
      </c>
      <c r="I31" s="9">
        <f t="shared" si="3"/>
        <v>0.22222222222222221</v>
      </c>
      <c r="J31" s="9">
        <f t="shared" si="5"/>
        <v>43</v>
      </c>
      <c r="K31" s="9">
        <f t="shared" si="4"/>
        <v>0.9555555555555556</v>
      </c>
    </row>
    <row r="32" spans="1:11" x14ac:dyDescent="0.35">
      <c r="F32" s="8" t="s">
        <v>29</v>
      </c>
      <c r="G32" s="9">
        <v>2</v>
      </c>
      <c r="H32" s="15">
        <v>2</v>
      </c>
      <c r="I32" s="9">
        <f t="shared" si="3"/>
        <v>4.4444444444444446E-2</v>
      </c>
      <c r="J32" s="9">
        <f t="shared" si="5"/>
        <v>45</v>
      </c>
      <c r="K32" s="9">
        <f t="shared" si="4"/>
        <v>1</v>
      </c>
    </row>
    <row r="33" spans="6:11" x14ac:dyDescent="0.35">
      <c r="F33" s="10" t="s">
        <v>30</v>
      </c>
      <c r="G33" s="11">
        <f xml:space="preserve"> SUM(G27:G32)</f>
        <v>45</v>
      </c>
      <c r="H33" s="12"/>
      <c r="I33" s="12">
        <f xml:space="preserve"> SUM(I27:I32)</f>
        <v>1</v>
      </c>
      <c r="J33" s="12"/>
      <c r="K33" s="12"/>
    </row>
    <row r="36" spans="6:11" x14ac:dyDescent="0.35">
      <c r="F36" s="1" t="s">
        <v>40</v>
      </c>
    </row>
    <row r="38" spans="6:11" x14ac:dyDescent="0.35">
      <c r="F38" s="13" t="s">
        <v>33</v>
      </c>
      <c r="G38" s="14">
        <v>7.083333333333333</v>
      </c>
    </row>
    <row r="39" spans="6:11" x14ac:dyDescent="0.35">
      <c r="F39" s="13" t="s">
        <v>34</v>
      </c>
      <c r="G39" s="14">
        <v>10.76923076923077</v>
      </c>
    </row>
    <row r="40" spans="6:11" x14ac:dyDescent="0.35">
      <c r="F40" s="13" t="s">
        <v>35</v>
      </c>
      <c r="G40" s="14">
        <v>14.3</v>
      </c>
    </row>
    <row r="41" spans="6:11" x14ac:dyDescent="0.35">
      <c r="F41" s="13" t="s">
        <v>36</v>
      </c>
      <c r="G41" s="14">
        <v>-3.741666666666668</v>
      </c>
    </row>
    <row r="42" spans="6:11" x14ac:dyDescent="0.35">
      <c r="F42" s="13" t="s">
        <v>37</v>
      </c>
      <c r="G42" s="14">
        <v>25.125</v>
      </c>
    </row>
    <row r="43" spans="6:11" x14ac:dyDescent="0.35">
      <c r="F43" s="13" t="s">
        <v>43</v>
      </c>
      <c r="G43" s="14">
        <v>3</v>
      </c>
      <c r="H43" t="s">
        <v>42</v>
      </c>
    </row>
    <row r="44" spans="6:11" x14ac:dyDescent="0.35">
      <c r="F44" s="13" t="s">
        <v>38</v>
      </c>
      <c r="G44" s="14">
        <v>20</v>
      </c>
      <c r="H44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4D1CC-592F-4A5C-AFAE-9307BBEF5EEF}">
  <dimension ref="A1:E26"/>
  <sheetViews>
    <sheetView topLeftCell="C1" workbookViewId="0">
      <selection activeCell="E13" sqref="E13"/>
    </sheetView>
  </sheetViews>
  <sheetFormatPr baseColWidth="10" defaultRowHeight="14.5" x14ac:dyDescent="0.35"/>
  <cols>
    <col min="1" max="1" width="25.6328125" customWidth="1"/>
  </cols>
  <sheetData>
    <row r="1" spans="1:5" x14ac:dyDescent="0.35">
      <c r="A1" s="13" t="s">
        <v>33</v>
      </c>
      <c r="B1" s="14">
        <v>6.25</v>
      </c>
      <c r="D1" s="16" t="s">
        <v>44</v>
      </c>
      <c r="E1" s="17">
        <f>B6</f>
        <v>3</v>
      </c>
    </row>
    <row r="2" spans="1:5" x14ac:dyDescent="0.35">
      <c r="A2" s="13" t="s">
        <v>34</v>
      </c>
      <c r="B2" s="14">
        <v>10.5</v>
      </c>
      <c r="D2" s="16" t="s">
        <v>45</v>
      </c>
      <c r="E2" s="17">
        <f xml:space="preserve"> B1-B6</f>
        <v>3.25</v>
      </c>
    </row>
    <row r="3" spans="1:5" x14ac:dyDescent="0.35">
      <c r="A3" s="13" t="s">
        <v>35</v>
      </c>
      <c r="B3" s="14">
        <v>14.333333333333334</v>
      </c>
      <c r="D3" s="16" t="s">
        <v>46</v>
      </c>
      <c r="E3" s="17">
        <f xml:space="preserve"> B2-B1</f>
        <v>4.25</v>
      </c>
    </row>
    <row r="4" spans="1:5" x14ac:dyDescent="0.35">
      <c r="A4" s="13" t="s">
        <v>36</v>
      </c>
      <c r="B4" s="14">
        <v>-5.875</v>
      </c>
      <c r="D4" s="16" t="s">
        <v>47</v>
      </c>
      <c r="E4" s="17">
        <f xml:space="preserve"> B3-B2</f>
        <v>3.8333333333333339</v>
      </c>
    </row>
    <row r="5" spans="1:5" x14ac:dyDescent="0.35">
      <c r="A5" s="13" t="s">
        <v>37</v>
      </c>
      <c r="B5" s="14">
        <v>26.458333333333336</v>
      </c>
      <c r="D5" s="16" t="s">
        <v>48</v>
      </c>
      <c r="E5" s="17">
        <f xml:space="preserve"> B7 - B3</f>
        <v>5.6666666666666661</v>
      </c>
    </row>
    <row r="6" spans="1:5" x14ac:dyDescent="0.35">
      <c r="A6" s="13" t="s">
        <v>43</v>
      </c>
      <c r="B6" s="14">
        <v>3</v>
      </c>
    </row>
    <row r="7" spans="1:5" x14ac:dyDescent="0.35">
      <c r="A7" s="13" t="s">
        <v>38</v>
      </c>
      <c r="B7" s="14">
        <v>20</v>
      </c>
    </row>
    <row r="20" spans="1:5" x14ac:dyDescent="0.35">
      <c r="A20" s="13" t="s">
        <v>33</v>
      </c>
      <c r="B20" s="14">
        <v>7.083333333333333</v>
      </c>
      <c r="D20" s="16" t="s">
        <v>44</v>
      </c>
      <c r="E20" s="18">
        <f xml:space="preserve"> B25</f>
        <v>3</v>
      </c>
    </row>
    <row r="21" spans="1:5" x14ac:dyDescent="0.35">
      <c r="A21" s="13" t="s">
        <v>34</v>
      </c>
      <c r="B21" s="14">
        <v>10.76923076923077</v>
      </c>
      <c r="D21" s="16" t="s">
        <v>45</v>
      </c>
      <c r="E21" s="18">
        <f xml:space="preserve"> B20 - B25</f>
        <v>4.083333333333333</v>
      </c>
    </row>
    <row r="22" spans="1:5" x14ac:dyDescent="0.35">
      <c r="A22" s="13" t="s">
        <v>35</v>
      </c>
      <c r="B22" s="14">
        <v>14.3</v>
      </c>
      <c r="D22" s="16" t="s">
        <v>46</v>
      </c>
      <c r="E22" s="18">
        <f xml:space="preserve"> B21 - B20</f>
        <v>3.685897435897437</v>
      </c>
    </row>
    <row r="23" spans="1:5" x14ac:dyDescent="0.35">
      <c r="A23" s="13" t="s">
        <v>36</v>
      </c>
      <c r="B23" s="14">
        <v>-3.741666666666668</v>
      </c>
      <c r="D23" s="16" t="s">
        <v>47</v>
      </c>
      <c r="E23" s="18">
        <f xml:space="preserve"> B22 - B21</f>
        <v>3.5307692307692307</v>
      </c>
    </row>
    <row r="24" spans="1:5" x14ac:dyDescent="0.35">
      <c r="A24" s="13" t="s">
        <v>37</v>
      </c>
      <c r="B24" s="14">
        <v>25.125</v>
      </c>
      <c r="D24" s="16" t="s">
        <v>48</v>
      </c>
      <c r="E24" s="18">
        <f xml:space="preserve"> B26 - B22</f>
        <v>5.6999999999999993</v>
      </c>
    </row>
    <row r="25" spans="1:5" x14ac:dyDescent="0.35">
      <c r="A25" s="13" t="s">
        <v>43</v>
      </c>
      <c r="B25" s="14">
        <v>3</v>
      </c>
    </row>
    <row r="26" spans="1:5" x14ac:dyDescent="0.35">
      <c r="A26" s="13" t="s">
        <v>38</v>
      </c>
      <c r="B26" s="14">
        <v>20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CBBB177BCECA4BA07D6B8F331069E6" ma:contentTypeVersion="10" ma:contentTypeDescription="Crée un document." ma:contentTypeScope="" ma:versionID="8b39a76d656bab3315ca0d507e2424ab">
  <xsd:schema xmlns:xsd="http://www.w3.org/2001/XMLSchema" xmlns:xs="http://www.w3.org/2001/XMLSchema" xmlns:p="http://schemas.microsoft.com/office/2006/metadata/properties" xmlns:ns2="9e182b23-170a-47e8-a965-13b876d21b7d" targetNamespace="http://schemas.microsoft.com/office/2006/metadata/properties" ma:root="true" ma:fieldsID="2bdc5c3d47e3b1d7c6fe4abce7fb684c" ns2:_="">
    <xsd:import namespace="9e182b23-170a-47e8-a965-13b876d21b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182b23-170a-47e8-a965-13b876d21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BCAD8A-0750-4A2B-B0E5-9951A848EAE5}"/>
</file>

<file path=customXml/itemProps2.xml><?xml version="1.0" encoding="utf-8"?>
<ds:datastoreItem xmlns:ds="http://schemas.openxmlformats.org/officeDocument/2006/customXml" ds:itemID="{B7EFD548-939A-4999-85BE-87E8C00D8DC0}"/>
</file>

<file path=customXml/itemProps3.xml><?xml version="1.0" encoding="utf-8"?>
<ds:datastoreItem xmlns:ds="http://schemas.openxmlformats.org/officeDocument/2006/customXml" ds:itemID="{C9221247-9921-4273-9D1A-0EB2EEB266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Semestre 1</vt:lpstr>
      <vt:lpstr>Graphiques - S1</vt:lpstr>
      <vt:lpstr>Semestre 2</vt:lpstr>
      <vt:lpstr>Graphiques -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KACHOUR Maher</dc:creator>
  <cp:lastModifiedBy>Léa HISLER-BAYLE</cp:lastModifiedBy>
  <dcterms:created xsi:type="dcterms:W3CDTF">2021-10-20T14:23:09Z</dcterms:created>
  <dcterms:modified xsi:type="dcterms:W3CDTF">2021-11-09T17:24:02Z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0x01010082CBBB177BCECA4BA07D6B8F331069E6</vt:lpwstr>
  </property>
</Properties>
</file>