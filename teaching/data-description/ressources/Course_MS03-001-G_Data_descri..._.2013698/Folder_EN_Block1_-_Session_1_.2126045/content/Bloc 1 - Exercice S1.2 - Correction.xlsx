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https://esscaeu-my.sharepoint.com/personal/jeremy_celse_essca_fr/Documents/Cours ESSCA/Cours_MS02-001-G Prise en Main Excel/Docs Séance 1/"/>
    </mc:Choice>
  </mc:AlternateContent>
  <xr:revisionPtr revIDLastSave="2" documentId="13_ncr:1_{2D2C3FC4-E637-4EA8-92F9-75EAEFE96ECA}" xr6:coauthVersionLast="45" xr6:coauthVersionMax="47" xr10:uidLastSave="{043ACCCA-5FA9-45F1-8510-61E60849282D}"/>
  <bookViews>
    <workbookView xWindow="28680" yWindow="-120" windowWidth="29040" windowHeight="1584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9" i="1" l="1"/>
  <c r="B28" i="1" l="1"/>
  <c r="B27" i="1"/>
  <c r="B24" i="1"/>
  <c r="B23" i="1"/>
  <c r="B22" i="1"/>
  <c r="D5" i="1" l="1"/>
  <c r="D9" i="1"/>
  <c r="D13" i="1"/>
  <c r="D17" i="1"/>
  <c r="D4" i="1"/>
  <c r="D10" i="1"/>
  <c r="D14" i="1"/>
  <c r="D18" i="1"/>
  <c r="D11" i="1"/>
  <c r="D15" i="1"/>
  <c r="D19" i="1"/>
  <c r="D8" i="1"/>
  <c r="D12" i="1"/>
  <c r="D16" i="1"/>
  <c r="D20" i="1"/>
  <c r="D6" i="1"/>
  <c r="D7" i="1"/>
</calcChain>
</file>

<file path=xl/sharedStrings.xml><?xml version="1.0" encoding="utf-8"?>
<sst xmlns="http://schemas.openxmlformats.org/spreadsheetml/2006/main" count="26" uniqueCount="26">
  <si>
    <t>DETAIL DES SALAIRES</t>
  </si>
  <si>
    <t>NOMS</t>
  </si>
  <si>
    <t>AGES</t>
  </si>
  <si>
    <t>SALAIRES</t>
  </si>
  <si>
    <t>%</t>
  </si>
  <si>
    <t>BOUSSY</t>
  </si>
  <si>
    <t>BRULE</t>
  </si>
  <si>
    <t>CHNEIDER</t>
  </si>
  <si>
    <t>CHOMARD</t>
  </si>
  <si>
    <t>DAMIA</t>
  </si>
  <si>
    <t>DIEUDONNE</t>
  </si>
  <si>
    <t>GACHON</t>
  </si>
  <si>
    <t>GENTIL</t>
  </si>
  <si>
    <t>HEYMANS</t>
  </si>
  <si>
    <t>JOSIAN</t>
  </si>
  <si>
    <t>JOVELET</t>
  </si>
  <si>
    <t>KRETENAN</t>
  </si>
  <si>
    <t>LOPEZ</t>
  </si>
  <si>
    <t>MAUFRAN</t>
  </si>
  <si>
    <t>OCELI</t>
  </si>
  <si>
    <t>PERROT</t>
  </si>
  <si>
    <t>SANTAMANS</t>
  </si>
  <si>
    <t>MASSE SALARIALE</t>
  </si>
  <si>
    <t>PLUS GROS SALAIRE</t>
  </si>
  <si>
    <t>PLUS PETIT SALAIRE</t>
  </si>
  <si>
    <t>TOP 3 DES SALAIRES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</si>
</sst>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.00\ &quot;€&quot;"/>
    <numFmt numFmtId="165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164" fontId="0" fillId="0" borderId="1" xfId="0" applyNumberFormat="1" applyBorder="1"/>
    <xf numFmtId="164" fontId="0" fillId="2" borderId="1" xfId="0" applyNumberFormat="1" applyFill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165" fontId="0" fillId="2" borderId="1" xfId="1" applyNumberFormat="1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0"/>
  <tableStyles count="1" defaultTableStyle="TableStyleMedium2" defaultPivotStyle="PivotStyleLight16">
    <tableStyle name="Invisible" pivot="0" table="0" count="0" xr9:uid="{B82C8906-61FD-4506-AAE8-10FB69B8291A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B22" sqref="B22"/>
    </sheetView>
  </sheetViews>
  <sheetFormatPr baseColWidth="10" defaultColWidth="11.453125" defaultRowHeight="14.5" x14ac:dyDescent="0.35"/>
  <cols>
    <col min="1" max="1" width="19.453125" bestFit="1" customWidth="1"/>
  </cols>
  <sheetData>
    <row r="1" spans="1:4" x14ac:dyDescent="0.3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7" t="s">
        <v>4</v>
      </c>
    </row>
    <row r="4" spans="1:4" x14ac:dyDescent="0.35">
      <c r="A4" s="3" t="s">
        <v>5</v>
      </c>
      <c r="B4" s="3">
        <v>40</v>
      </c>
      <c r="C4" s="4">
        <v>2371</v>
      </c>
      <c r="D4" s="8">
        <f t="shared" ref="D4:D20" si="0">C4/$B$22</f>
        <v>5.2370013694394132E-2</v>
      </c>
    </row>
    <row r="5" spans="1:4" x14ac:dyDescent="0.35">
      <c r="A5" s="3" t="s">
        <v>6</v>
      </c>
      <c r="B5" s="3">
        <v>42</v>
      </c>
      <c r="C5" s="4">
        <v>3234</v>
      </c>
      <c r="D5" s="8">
        <f t="shared" si="0"/>
        <v>7.1431726818924762E-2</v>
      </c>
    </row>
    <row r="6" spans="1:4" x14ac:dyDescent="0.35">
      <c r="A6" s="3" t="s">
        <v>7</v>
      </c>
      <c r="B6" s="3">
        <v>28</v>
      </c>
      <c r="C6" s="4">
        <v>3972</v>
      </c>
      <c r="D6" s="8">
        <f t="shared" si="0"/>
        <v>8.7732473384282375E-2</v>
      </c>
    </row>
    <row r="7" spans="1:4" x14ac:dyDescent="0.35">
      <c r="A7" s="3" t="s">
        <v>8</v>
      </c>
      <c r="B7" s="3">
        <v>45</v>
      </c>
      <c r="C7" s="4">
        <v>1822</v>
      </c>
      <c r="D7" s="8">
        <f t="shared" si="0"/>
        <v>4.024384856650616E-2</v>
      </c>
    </row>
    <row r="8" spans="1:4" x14ac:dyDescent="0.35">
      <c r="A8" s="3" t="s">
        <v>9</v>
      </c>
      <c r="B8" s="3">
        <v>39</v>
      </c>
      <c r="C8" s="4">
        <v>3214</v>
      </c>
      <c r="D8" s="8">
        <f t="shared" si="0"/>
        <v>7.0989972169457086E-2</v>
      </c>
    </row>
    <row r="9" spans="1:4" x14ac:dyDescent="0.35">
      <c r="A9" s="3" t="s">
        <v>10</v>
      </c>
      <c r="B9" s="3">
        <v>39</v>
      </c>
      <c r="C9" s="4">
        <v>2982</v>
      </c>
      <c r="D9" s="8">
        <f t="shared" si="0"/>
        <v>6.5865618235631931E-2</v>
      </c>
    </row>
    <row r="10" spans="1:4" x14ac:dyDescent="0.35">
      <c r="A10" s="3" t="s">
        <v>11</v>
      </c>
      <c r="B10" s="3">
        <v>32</v>
      </c>
      <c r="C10" s="4">
        <v>1941</v>
      </c>
      <c r="D10" s="8">
        <f t="shared" si="0"/>
        <v>4.2872288730838891E-2</v>
      </c>
    </row>
    <row r="11" spans="1:4" x14ac:dyDescent="0.35">
      <c r="A11" s="3" t="s">
        <v>12</v>
      </c>
      <c r="B11" s="3">
        <v>28</v>
      </c>
      <c r="C11" s="4">
        <v>2608</v>
      </c>
      <c r="D11" s="8">
        <f t="shared" si="0"/>
        <v>5.7604806290586209E-2</v>
      </c>
    </row>
    <row r="12" spans="1:4" x14ac:dyDescent="0.35">
      <c r="A12" s="3" t="s">
        <v>13</v>
      </c>
      <c r="B12" s="3">
        <v>41</v>
      </c>
      <c r="C12" s="4">
        <v>1686</v>
      </c>
      <c r="D12" s="8">
        <f t="shared" si="0"/>
        <v>3.7239916950125899E-2</v>
      </c>
    </row>
    <row r="13" spans="1:4" x14ac:dyDescent="0.35">
      <c r="A13" s="3" t="s">
        <v>14</v>
      </c>
      <c r="B13" s="3">
        <v>37</v>
      </c>
      <c r="C13" s="4">
        <v>2432</v>
      </c>
      <c r="D13" s="8">
        <f t="shared" si="0"/>
        <v>5.3717365375270575E-2</v>
      </c>
    </row>
    <row r="14" spans="1:4" x14ac:dyDescent="0.35">
      <c r="A14" s="3" t="s">
        <v>15</v>
      </c>
      <c r="B14" s="3">
        <v>34</v>
      </c>
      <c r="C14" s="4">
        <v>3022</v>
      </c>
      <c r="D14" s="8">
        <f t="shared" si="0"/>
        <v>6.6749127534567299E-2</v>
      </c>
    </row>
    <row r="15" spans="1:4" x14ac:dyDescent="0.35">
      <c r="A15" s="3" t="s">
        <v>16</v>
      </c>
      <c r="B15" s="3">
        <v>29</v>
      </c>
      <c r="C15" s="4">
        <v>2582</v>
      </c>
      <c r="D15" s="8">
        <f t="shared" si="0"/>
        <v>5.7030525246278219E-2</v>
      </c>
    </row>
    <row r="16" spans="1:4" x14ac:dyDescent="0.35">
      <c r="A16" s="3" t="s">
        <v>17</v>
      </c>
      <c r="B16" s="3">
        <v>42</v>
      </c>
      <c r="C16" s="4">
        <v>3148</v>
      </c>
      <c r="D16" s="8">
        <f t="shared" si="0"/>
        <v>6.9532181826213721E-2</v>
      </c>
    </row>
    <row r="17" spans="1:4" x14ac:dyDescent="0.35">
      <c r="A17" s="3" t="s">
        <v>18</v>
      </c>
      <c r="B17" s="3">
        <v>46</v>
      </c>
      <c r="C17" s="4">
        <v>3369</v>
      </c>
      <c r="D17" s="8">
        <f t="shared" si="0"/>
        <v>7.4413570702831652E-2</v>
      </c>
    </row>
    <row r="18" spans="1:4" x14ac:dyDescent="0.35">
      <c r="A18" s="3" t="s">
        <v>19</v>
      </c>
      <c r="B18" s="3">
        <v>41</v>
      </c>
      <c r="C18" s="4">
        <v>1732</v>
      </c>
      <c r="D18" s="8">
        <f t="shared" si="0"/>
        <v>3.8255952643901574E-2</v>
      </c>
    </row>
    <row r="19" spans="1:4" x14ac:dyDescent="0.35">
      <c r="A19" s="3" t="s">
        <v>20</v>
      </c>
      <c r="B19" s="3">
        <v>40</v>
      </c>
      <c r="C19" s="4">
        <v>2166</v>
      </c>
      <c r="D19" s="8">
        <f t="shared" si="0"/>
        <v>4.7842028537350353E-2</v>
      </c>
    </row>
    <row r="20" spans="1:4" x14ac:dyDescent="0.35">
      <c r="A20" s="3" t="s">
        <v>21</v>
      </c>
      <c r="B20" s="3">
        <v>53</v>
      </c>
      <c r="C20" s="4">
        <v>2993</v>
      </c>
      <c r="D20" s="8">
        <f t="shared" si="0"/>
        <v>6.6108583292839154E-2</v>
      </c>
    </row>
    <row r="22" spans="1:4" x14ac:dyDescent="0.35">
      <c r="A22" s="3" t="s">
        <v>22</v>
      </c>
      <c r="B22" s="5">
        <f>SUM(C4:C20)</f>
        <v>45274</v>
      </c>
    </row>
    <row r="23" spans="1:4" x14ac:dyDescent="0.35">
      <c r="A23" s="3" t="s">
        <v>23</v>
      </c>
      <c r="B23" s="5">
        <f>MAX(C4:C20)</f>
        <v>3972</v>
      </c>
    </row>
    <row r="24" spans="1:4" x14ac:dyDescent="0.35">
      <c r="A24" s="3" t="s">
        <v>24</v>
      </c>
      <c r="B24" s="5">
        <f>MIN(C4:C20)</f>
        <v>1686</v>
      </c>
    </row>
    <row r="26" spans="1:4" x14ac:dyDescent="0.35">
      <c r="A26" s="1" t="s">
        <v>25</v>
      </c>
    </row>
    <row r="27" spans="1:4" x14ac:dyDescent="0.35">
      <c r="A27" s="6">
        <v>1</v>
      </c>
      <c r="B27" s="5">
        <f>LARGE($C$4:$C$20,A27)</f>
        <v>3972</v>
      </c>
    </row>
    <row r="28" spans="1:4" x14ac:dyDescent="0.35">
      <c r="A28" s="6">
        <v>2</v>
      </c>
      <c r="B28" s="5">
        <f t="shared" ref="B28:B29" si="1">LARGE($C$4:$C$20,A28)</f>
        <v>3369</v>
      </c>
    </row>
    <row r="29" spans="1:4" x14ac:dyDescent="0.35">
      <c r="A29" s="6">
        <v>3</v>
      </c>
      <c r="B29" s="5">
        <f>LARGE($C$4:$C$20,A29)</f>
        <v>3234</v>
      </c>
    </row>
  </sheetData>
  <sortState xmlns:xlrd2="http://schemas.microsoft.com/office/spreadsheetml/2017/richdata2" ref="E4:E20">
    <sortCondition descending="1" ref="E4"/>
  </sortState>
  <pageMargins left="0.7" right="0.7" top="0.75" bottom="0.75" header="0.3" footer="0.3"/>
  <pageSetup paperSize="9" orientation="portrait" horizontalDpi="4294967293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AF7034356EE44A8761F7611E8C7DAF" ma:contentTypeVersion="2" ma:contentTypeDescription="Crée un document." ma:contentTypeScope="" ma:versionID="4931284ba9e17f4b7c21702fe4f829f2">
  <xsd:schema xmlns:xsd="http://www.w3.org/2001/XMLSchema" xmlns:xs="http://www.w3.org/2001/XMLSchema" xmlns:p="http://schemas.microsoft.com/office/2006/metadata/properties" xmlns:ns2="db5417d9-0dc8-4436-9920-78b60e26be33" targetNamespace="http://schemas.microsoft.com/office/2006/metadata/properties" ma:root="true" ma:fieldsID="32d45c24d27db83e39567ee369b675e0" ns2:_="">
    <xsd:import namespace="db5417d9-0dc8-4436-9920-78b60e26be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5417d9-0dc8-4436-9920-78b60e26be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A5DBA1F-FE88-4597-B2B1-ED1BC89BBE5A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6FB641C1-D337-4B9E-9B19-6F23853D1F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C3AB52B-FFE9-4AAD-BC16-A6803E7C98D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b5417d9-0dc8-4436-9920-78b60e26be3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 Hisler</dc:creator>
  <cp:keywords/>
  <dc:description/>
  <cp:lastModifiedBy>CELSE Jeremy</cp:lastModifiedBy>
  <cp:revision/>
  <dcterms:created xsi:type="dcterms:W3CDTF">2016-09-07T11:46:30Z</dcterms:created>
  <dcterms:modified xsi:type="dcterms:W3CDTF">2022-01-06T17:39:55Z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0x010100BEAF7034356EE44A8761F7611E8C7DAF</vt:lpwstr>
  </property>
</Properties>
</file>