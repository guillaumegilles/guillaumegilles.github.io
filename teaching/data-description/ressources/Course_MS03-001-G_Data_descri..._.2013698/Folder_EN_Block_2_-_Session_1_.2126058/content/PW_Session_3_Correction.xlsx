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a7e456117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ny A" sheetId="1" r:id="Rfd52cc4ae51c4dad"/>
    <x:sheet xmlns:r="http://schemas.openxmlformats.org/officeDocument/2006/relationships" name="Graphs" sheetId="2" r:id="R5484d54489dc48db"/>
  </x:sheets>
  <x:definedNames>
    <x:definedName name="_xlchart.v1.0" hidden="1">'Company A'!$E$2:$E$46</x:definedName>
  </x:definedNames>
  <x:pivotCaches>
    <x:pivotCache xmlns:r="http://schemas.openxmlformats.org/officeDocument/2006/relationships" cacheId="0" r:id="R4022701e28394e48"/>
  </x:pivotCaches>
</x:workbook>
</file>

<file path=xl/sharedStrings.xml><?xml version="1.0" encoding="utf-8"?>
<x:sst xmlns:x="http://schemas.openxmlformats.org/spreadsheetml/2006/main">
  <x:si>
    <x:t xml:space="preserve">Employee</x:t>
  </x:si>
  <x:si>
    <x:t xml:space="preserve">Gender</x:t>
  </x:si>
  <x:si>
    <x:t xml:space="preserve">Nb of children</x:t>
  </x:si>
  <x:si>
    <x:t xml:space="preserve">Study</x:t>
  </x:si>
  <x:si>
    <x:t xml:space="preserve">Salary</x:t>
  </x:si>
  <x:si>
    <x:t xml:space="preserve">Table 1 : synthesis of the data associated with the variable Gender</x:t>
  </x:si>
  <x:si>
    <x:t xml:space="preserve">H</x:t>
  </x:si>
  <x:si>
    <x:t xml:space="preserve">L</x:t>
  </x:si>
  <x:si>
    <x:t xml:space="preserve">F</x:t>
  </x:si>
  <x:si>
    <x:t xml:space="preserve">Modalities</x:t>
  </x:si>
  <x:si>
    <x:t xml:space="preserve">ni (Absolute frequency)</x:t>
  </x:si>
  <x:si>
    <x:t xml:space="preserve">fi (Relative frequency)</x:t>
  </x:si>
  <x:si>
    <x:t xml:space="preserve">MD</x:t>
  </x:si>
  <x:si>
    <x:t xml:space="preserve">Total</x:t>
  </x:si>
  <x:si>
    <x:t xml:space="preserve">B</x:t>
  </x:si>
  <x:si>
    <x:t xml:space="preserve">Table 2 :  synthesis of the data associated with the variable Level of Study</x:t>
  </x:si>
  <x:si>
    <x:t xml:space="preserve">Table 3 :  synthesis of the data associated with the variable Number of children</x:t>
  </x:si>
  <x:si>
    <x:t xml:space="preserve">n_i^+ (increasing cumulative absolute frequency)</x:t>
  </x:si>
  <x:si>
    <x:t xml:space="preserve">f_i^+ (increasing cumulative relative frequency)</x:t>
  </x:si>
  <x:si>
    <x:t xml:space="preserve">Table 4 :  synthesis of the data associated with the variable Salary (with predefined classes)</x:t>
  </x:si>
  <x:si>
    <x:t xml:space="preserve">[1500 ; 1750[</x:t>
  </x:si>
  <x:si>
    <x:t xml:space="preserve">[1750 ; 2100[</x:t>
  </x:si>
  <x:si>
    <x:t xml:space="preserve">[2100 ; 2500[</x:t>
  </x:si>
  <x:si>
    <x:t xml:space="preserve">[2500 ; 2900[</x:t>
  </x:si>
  <x:si>
    <x:t xml:space="preserve">[2900 ; 3200[</x:t>
  </x:si>
  <x:si>
    <x:t xml:space="preserve">Total  </x:t>
  </x:si>
  <x:si>
    <x:t xml:space="preserve">The columns to create the f_i^+ curve of the variable Salary</x:t>
  </x:si>
  <x:si>
    <x:t xml:space="preserve">The columns to create the histogram of the variable salary</x:t>
  </x:si>
  <x:si>
    <x:t xml:space="preserve">ai (width)</x:t>
  </x:si>
  <x:si>
    <x:t xml:space="preserve">hi (height)</x:t>
  </x:si>
  <x:si>
    <x:t xml:space="preserve">The columns to create the f_i^+ curve of the variable Number of children</x:t>
  </x:si>
  <x:si>
    <x:t xml:space="preserve">Number of data</x:t>
  </x:si>
  <x:si>
    <x:t xml:space="preserve">Table 1bis : synthesis of the data associated with the variable Gender</x:t>
  </x:si>
  <x:si>
    <x:t xml:space="preserve">Table 2bis :  synthesis of the data associated with the variable Level of Study</x:t>
  </x:si>
  <x:si>
    <x:t xml:space="preserve">Table 3bis :  synthesis of the data associated with the variable Number of children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</x:si>
</x:sst>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theme="7" tint="0.39998"/>
      </x:patternFill>
    </x:fill>
    <x:fill>
      <x:patternFill patternType="solid">
        <x:fgColor rgb="FF92D050"/>
      </x:patternFill>
    </x:fill>
    <x:fill>
      <x:patternFill patternType="solid">
        <x:fgColor theme="0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1" xfId="0" applyFont="1" applyBorder="1" applyAlignment="1">
      <x:alignment horizontal="left"/>
    </x:xf>
    <x:xf numFmtId="0" fontId="1" fillId="2" borderId="1" xfId="0" applyFont="1" applyFill="1" applyBorder="1"/>
    <x:xf numFmtId="0" fontId="1" fillId="3" borderId="1" xfId="0" applyFont="1" applyFill="1" applyBorder="1" applyAlignment="1">
      <x:alignment horizontal="left"/>
    </x:xf>
    <x:xf numFmtId="0" fontId="1" fillId="4" borderId="1" xfId="0" applyFont="1" applyFill="1" applyBorder="1"/>
    <x:xf numFmtId="0" fontId="1" fillId="5" borderId="1" xfId="0" applyFont="1" applyFill="1" applyBorder="1"/>
    <x:xf numFmtId="0" fontId="0" fillId="2" borderId="1" xfId="0" applyFill="1" applyBorder="1"/>
    <x:xf numFmtId="0" fontId="0" fillId="3" borderId="1" xfId="0" applyFill="1" applyBorder="1" applyAlignment="1">
      <x:alignment horizontal="left"/>
    </x:xf>
    <x:xf numFmtId="0" fontId="0" fillId="4" borderId="1" xfId="0" applyFill="1" applyBorder="1"/>
    <x:xf numFmtId="0" fontId="0" fillId="5" borderId="1" xfId="0" applyFill="1" applyBorder="1"/>
    <x:xf numFmtId="0" fontId="1" fillId="0" borderId="0" xfId="0" applyFont="1"/>
    <x:xf numFmtId="0" fontId="1" fillId="3" borderId="1" xfId="0" applyFont="1" applyFill="1" applyBorder="1"/>
    <x:xf numFmtId="0" fontId="0" fillId="3" borderId="1" xfId="0" applyFill="1" applyBorder="1"/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1" fillId="6" borderId="0" xfId="0" applyFont="1" applyFill="1" applyBorder="1"/>
    <x:xf numFmtId="0" fontId="0" fillId="5" borderId="2" xfId="0" applyFill="1" applyBorder="1"/>
    <x:xf numFmtId="0" fontId="0" fillId="0" borderId="1" xfId="0" applyBorder="1"/>
    <x:xf numFmtId="0" fontId="0" fillId="6" borderId="1" xfId="0" applyFill="1" applyBorder="1"/>
    <x:xf numFmtId="0" fontId="0" fillId="6" borderId="0" xfId="0" applyFill="1" applyBorder="1"/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0" fillId="4" borderId="1" xfId="0" applyFill="1" applyBorder="1" applyAlignment="1">
      <x:alignment horizontal="center"/>
    </x:xf>
    <x:xf numFmtId="0" fontId="0" fillId="5" borderId="1" xfId="0" applyFill="1" applyBorder="1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NumberFormat="1" applyAlignment="1">
      <x:alignment horizontal="center"/>
    </x:xf>
  </x:cellXfs>
  <x:cellStyles count="1">
    <x:cellStyle name="Normal" xfId="0"/>
  </x:cellStyles>
  <x:dxfs count="16"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d91ce2acb4c5f" /><Relationship Type="http://schemas.openxmlformats.org/officeDocument/2006/relationships/theme" Target="/xl/theme/theme1.xml" Id="R29a200f9cf9e470e" /><Relationship Type="http://schemas.openxmlformats.org/officeDocument/2006/relationships/sharedStrings" Target="/xl/sharedStrings.xml" Id="Ra152c5d180be43e4" /><Relationship Type="http://schemas.openxmlformats.org/officeDocument/2006/relationships/pivotCacheDefinition" Target="/pivotCache/pivotCacheDefinition1.xml" Id="R4022701e28394e48" /><Relationship Type="http://schemas.openxmlformats.org/officeDocument/2006/relationships/worksheet" Target="/xl/worksheets/sheet1.xml" Id="Rfd52cc4ae51c4dad" /><Relationship Type="http://schemas.openxmlformats.org/officeDocument/2006/relationships/worksheet" Target="/xl/worksheets/sheet2.xml" Id="R5484d54489dc48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59ff6790f84dba" /><Relationship Type="http://schemas.openxmlformats.org/officeDocument/2006/relationships/chart" Target="/xl/drawings/charts/chart2.xml" Id="R76971803369546f5" /><Relationship Type="http://schemas.openxmlformats.org/officeDocument/2006/relationships/chart" Target="/xl/drawings/charts/chart3.xml" Id="Rcf13cb465264407c" /><Relationship Type="http://schemas.openxmlformats.org/officeDocument/2006/relationships/chart" Target="/xl/drawings/charts/chart4.xml" Id="Rb20ba5b1eec149fa" /><Relationship Type="http://schemas.openxmlformats.org/officeDocument/2006/relationships/chart" Target="/xl/drawings/charts/chart5.xml" Id="Rfee4811e95c04d06" /><Relationship Type="http://schemas.openxmlformats.org/officeDocument/2006/relationships/chart" Target="/xl/drawings/charts/chart6.xml" Id="Rbc7c31fd8b1143d0" /><Relationship Type="http://schemas.openxmlformats.org/officeDocument/2006/relationships/chart" Target="/xl/drawings/charts/chart7.xml" Id="Re2300ee6a8864cb8" /><Relationship Type="http://schemas.openxmlformats.org/officeDocument/2006/relationships/chart" Target="/xl/drawings/charts/chart8.xml" Id="R117270032c124e72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Gender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5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</a:ln>
            </c:spPr>
          </c:dPt>
          <c:dLbls>
            <c:spPr>
              <a:pattFill xmlns:a="http://schemas.openxmlformats.org/drawingml/2006/main"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</c:dLbls>
          <c:cat>
            <c:strRef>
              <c:f>'Company A'!$H$4:$H$5</c:f>
              <c:strCache>
                <c:ptCount val="2"/>
                <c:pt idx="0">
                  <c:v>H</c:v>
                </c:pt>
                <c:pt idx="1">
                  <c:v>F</c:v>
                </c:pt>
              </c:strCache>
            </c:strRef>
          </c:cat>
          <c:val>
            <c:numRef>
              <c:f>'Company A'!$I$4:$I$5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solidFill xmlns:a="http://schemas.openxmlformats.org/drawingml/2006/main">
          <a:schemeClr val="lt1">
            <a:lumMod val="95000"/>
            <a:alpha val="39000"/>
          </a:schemeClr>
        </a:solidFill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mpd="sng">
      <a:solidFill>
        <a:schemeClr val="dk1">
          <a:lumMod val="25000"/>
          <a:lumOff val="7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Gender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050372703412074"/>
          <c:y val="0.1628687415426252"/>
          <c:w val="0.8719496062992126"/>
          <c:h val="0.673676494091824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 xmlns:a="http://schemas.openxmlformats.org/drawingml/2006/main">
              <a:schemeClr val="accent1">
                <a:alpha val="85000"/>
              </a:schemeClr>
            </a:solidFill>
            <a:ln xmlns:a="http://schemas.openxmlformats.org/drawingml/2006/main" w="9525" cmpd="sng">
              <a:solidFill>
                <a:schemeClr val="lt1">
                  <a:alpha val="50000"/>
                </a:schemeClr>
              </a:solidFill>
            </a:ln>
          </c:spPr>
          <c:dPt>
            <c:idx val="1"/>
            <c:spPr>
              <a:solidFill xmlns:a="http://schemas.openxmlformats.org/drawingml/2006/main">
                <a:schemeClr val="accent4">
                  <a:lumMod val="40000"/>
                  <a:lumOff val="60000"/>
                  <a:alpha val="85000"/>
                </a:schemeClr>
              </a:solidFill>
              <a:ln xmlns:a="http://schemas.openxmlformats.org/drawingml/2006/main" w="9525" cmpd="sng">
                <a:solidFill>
                  <a:schemeClr val="lt1">
                    <a:alpha val="50000"/>
                  </a:schemeClr>
                </a:solidFill>
              </a:ln>
            </c:spPr>
          </c:dPt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'Company A'!$H$4:$H$5</c:f>
              <c:strCache>
                <c:ptCount val="2"/>
                <c:pt idx="0">
                  <c:v>H</c:v>
                </c:pt>
                <c:pt idx="1">
                  <c:v>F</c:v>
                </c:pt>
              </c:strCache>
            </c:strRef>
          </c:cat>
          <c:val>
            <c:numRef>
              <c:f>'Company A'!$I$4:$I$5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5717216"/>
        <c:axId val="485718048"/>
      </c:barChart>
      <c:catAx>
        <c:axId val="48571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xmlns:a="http://schemas.openxmlformats.org/drawingml/2006/main" w="19050" cmpd="sng">
            <a:solidFill>
              <a:schemeClr val="dk1">
                <a:lumMod val="75000"/>
                <a:lumOff val="2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cap="all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718048"/>
        <c:crosses val="autoZero"/>
        <c:lblAlgn val="ctr"/>
        <c:lblOffset val="100"/>
        <c:noMultiLvlLbl val="0"/>
      </c:catAx>
      <c:valAx>
        <c:axId val="485718048"/>
        <c:scaling>
          <c:orientation val="minMax"/>
        </c:scaling>
        <c:delete val="1"/>
        <c:axPos val="b"/>
        <c:majorGridlines>
          <c:spPr>
            <a:ln xmlns:a="http://schemas.openxmlformats.org/drawingml/2006/main" w="9525" cmpd="sng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none"/>
        <c:minorTickMark val="none"/>
        <c:tickLblPos val="nextTo"/>
        <c:crossAx val="485717216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mpd="sng">
      <a:solidFill>
        <a:schemeClr val="dk1">
          <a:lumMod val="25000"/>
          <a:lumOff val="7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lt"/>
                <a:cs typeface="+mn-lt"/>
              </a:rPr>
              <a:t>Level of Study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view3D>
      <c:rotX val="50"/>
      <c:rotY val="0"/>
      <c:rAngAx val="0"/>
    </c:view3D>
    <c:plotArea>
      <c:pie3DChart>
        <c:ser>
          <c:idx val="0"/>
          <c:order val="0"/>
          <c:dPt>
            <c:idx val="0"/>
            <c: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</a:ln>
            </c:spPr>
          </c:dPt>
          <c:dPt>
            <c:idx val="1"/>
            <c: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</a:ln>
            </c:spPr>
          </c:dPt>
          <c:dLbls>
            <c:spPr>
              <a:pattFill xmlns:a="http://schemas.openxmlformats.org/drawingml/2006/main"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1" i="0" u="none">
                    <a:solidFill>
                      <a:schemeClr val="lt1"/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</c:dLbls>
          <c:cat>
            <c:strRef>
              <c:f>'Company A'!$H$11:$H$13</c:f>
              <c:strCache>
                <c:ptCount val="3"/>
                <c:pt idx="0">
                  <c:v>B</c:v>
                </c:pt>
                <c:pt idx="1">
                  <c:v>L</c:v>
                </c:pt>
                <c:pt idx="2">
                  <c:v>MD</c:v>
                </c:pt>
              </c:strCache>
            </c:strRef>
          </c:cat>
          <c:val>
            <c:numRef>
              <c:f>'Company A'!$I$11:$I$13</c:f>
              <c:numCache>
                <c:formatCode>General</c:formatCode>
                <c:ptCount val="3"/>
                <c:pt idx="0">
                  <c:v>5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solidFill xmlns:a="http://schemas.openxmlformats.org/drawingml/2006/main">
          <a:schemeClr val="lt1">
            <a:lumMod val="95000"/>
            <a:alpha val="39000"/>
          </a:schemeClr>
        </a:solidFill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gradFill xmlns:a="http://schemas.openxmlformats.org/drawingml/2006/main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xmlns:a="http://schemas.openxmlformats.org/drawingml/2006/main" w="9525" cmpd="sng">
      <a:solidFill>
        <a:schemeClr val="dk1">
          <a:lumMod val="25000"/>
          <a:lumOff val="7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Level of Study</a:t>
            </a:r>
          </a:p>
        </c:rich>
      </c:tx>
      <c:layout>
        <c:manualLayout>
          <c:xMode val="edge"/>
          <c:yMode val="edge"/>
          <c:x val="0.2870216770712426"/>
          <c:y val="0.046875"/>
        </c:manualLayout>
      </c:layout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1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</a:ln>
          </c:spPr>
          <c:dPt>
            <c:idx val="1"/>
            <c:spPr>
              <a:solidFill xmlns:a="http://schemas.openxmlformats.org/drawingml/2006/main">
                <a:srgbClr val="FFFF00"/>
              </a:solidFill>
              <a:ln xmlns:a="http://schemas.openxmlformats.org/drawingml/2006/main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FF0000"/>
              </a:solidFill>
              <a:ln xmlns:a="http://schemas.openxmlformats.org/drawingml/2006/main">
                <a:noFill/>
              </a:ln>
            </c:spPr>
          </c:dPt>
          <c:cat>
            <c:strRef>
              <c:f>'Company A'!$H$11:$H$13</c:f>
              <c:strCache>
                <c:ptCount val="3"/>
                <c:pt idx="0">
                  <c:v>B</c:v>
                </c:pt>
                <c:pt idx="1">
                  <c:v>L</c:v>
                </c:pt>
                <c:pt idx="2">
                  <c:v>MD</c:v>
                </c:pt>
              </c:strCache>
            </c:strRef>
          </c:cat>
          <c:val>
            <c:numRef>
              <c:f>'Company A'!$I$11:$I$13</c:f>
              <c:numCache>
                <c:formatCode>General</c:formatCode>
                <c:ptCount val="3"/>
                <c:pt idx="0">
                  <c:v>5</c:v>
                </c:pt>
                <c:pt idx="1">
                  <c:v>27</c:v>
                </c:pt>
                <c:pt idx="2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945056"/>
        <c:axId val="1034937984"/>
      </c:barChart>
      <c:catAx>
        <c:axId val="103494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34937984"/>
        <c:crosses val="autoZero"/>
        <c:lblAlgn val="ctr"/>
        <c:lblOffset val="100"/>
        <c:noMultiLvlLbl val="0"/>
      </c:catAx>
      <c:valAx>
        <c:axId val="103493798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Numbers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solidFill>
              <a:schemeClr val="tx1"/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34945056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Number of children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826159230096237"/>
          <c:y val="0.17171296296296298"/>
          <c:w val="0.8439606299212599"/>
          <c:h val="0.62271617089530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</a:ln>
          </c:spPr>
          <c:cat>
            <c:numRef>
              <c:f>'Company A'!$H$19:$H$24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'Company A'!$I$19:$I$24</c:f>
              <c:numCache>
                <c:formatCode>General</c:formatCode>
                <c:ptCount val="6"/>
                <c:pt idx="0">
                  <c:v>6</c:v>
                </c:pt>
                <c:pt idx="1">
                  <c:v>13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951360432"/>
        <c:axId val="951362512"/>
      </c:barChart>
      <c:catAx>
        <c:axId val="951360432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Number of children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/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51362512"/>
        <c:crosses val="autoZero"/>
        <c:lblAlgn val="ctr"/>
        <c:lblOffset val="100"/>
        <c:noMultiLvlLbl val="0"/>
      </c:catAx>
      <c:valAx>
        <c:axId val="9513625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Absolute Frequency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solidFill>
              <a:schemeClr val="tx1"/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5136043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solidFill>
            <a:schemeClr val="accent1">
              <a:alpha val="36000"/>
            </a:schemeClr>
          </a:solidFill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alpha val="97000"/>
        </a:schemeClr>
      </a:solidFill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Increasing cumulative frequencies curve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'Company A'!$H$40:$H$45</c:f>
              <c:numCache>
                <c:formatCode>General</c:formatCode>
                <c:ptCount val="6"/>
                <c:pt idx="0">
                  <c:v>1500</c:v>
                </c:pt>
                <c:pt idx="1">
                  <c:v>1750</c:v>
                </c:pt>
                <c:pt idx="2">
                  <c:v>2100</c:v>
                </c:pt>
                <c:pt idx="3">
                  <c:v>2500</c:v>
                </c:pt>
                <c:pt idx="4">
                  <c:v>2900</c:v>
                </c:pt>
                <c:pt idx="5">
                  <c:v>3200</c:v>
                </c:pt>
              </c:numCache>
            </c:numRef>
          </c:cat>
          <c:val>
            <c:numRef>
              <c:f>'Company A'!$I$40:$I$45</c:f>
              <c:numCache>
                <c:formatCode>General</c:formatCode>
                <c:ptCount val="6"/>
                <c:pt idx="0">
                  <c:v>0</c:v>
                </c:pt>
                <c:pt idx="1">
                  <c:v>0.1111111111111111</c:v>
                </c:pt>
                <c:pt idx="2">
                  <c:v>0.4222222222222222</c:v>
                </c:pt>
                <c:pt idx="3">
                  <c:v>0.7777777777777778</c:v>
                </c:pt>
                <c:pt idx="4">
                  <c:v>0.9555555555555556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4950464"/>
        <c:axId val="1034950880"/>
      </c:lineChart>
      <c:catAx>
        <c:axId val="1034950464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Salaries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34950880"/>
        <c:crosses val="autoZero"/>
        <c:lblAlgn val="ctr"/>
        <c:lblOffset val="100"/>
        <c:noMultiLvlLbl val="0"/>
      </c:catAx>
      <c:valAx>
        <c:axId val="1034950880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Percentage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34950464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dPt>
            <c:idx val="2"/>
            <c:spPr>
              <a:ln xmlns:a="http://schemas.openxmlformats.org/drawingml/2006/main" w="19050">
                <a:solidFill>
                  <a:srgbClr val="FF0000"/>
                </a:solidFill>
                <a:prstDash val="sysDot"/>
              </a:ln>
            </c:spPr>
          </c:dPt>
          <c:dPt>
            <c:idx val="4"/>
            <c:spPr>
              <a:ln xmlns:a="http://schemas.openxmlformats.org/drawingml/2006/main" w="19050">
                <a:solidFill>
                  <a:srgbClr val="FF0000"/>
                </a:solidFill>
                <a:prstDash val="sysDot"/>
              </a:ln>
            </c:spPr>
          </c:dPt>
          <c:dPt>
            <c:idx val="6"/>
            <c:spPr>
              <a:ln xmlns:a="http://schemas.openxmlformats.org/drawingml/2006/main" w="19050">
                <a:solidFill>
                  <a:srgbClr val="FF0000"/>
                </a:solidFill>
                <a:prstDash val="sysDot"/>
              </a:ln>
            </c:spPr>
          </c:dPt>
          <c:xVal>
            <c:numRef>
              <c:f>'Company A'!$H$48:$H$58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</c:numCache>
            </c:numRef>
          </c:xVal>
          <c:yVal>
            <c:numRef>
              <c:f>'Company A'!$I$48:$I$58</c:f>
              <c:numCache>
                <c:formatCode>General</c:formatCode>
                <c:ptCount val="11"/>
                <c:pt idx="0">
                  <c:v>0.13333333333333333</c:v>
                </c:pt>
                <c:pt idx="1">
                  <c:v>0.13333333333333333</c:v>
                </c:pt>
                <c:pt idx="2">
                  <c:v>0.4222222222222222</c:v>
                </c:pt>
                <c:pt idx="3">
                  <c:v>0.4222222222222222</c:v>
                </c:pt>
                <c:pt idx="4">
                  <c:v>0.7555555555555555</c:v>
                </c:pt>
                <c:pt idx="5">
                  <c:v>0.7555555555555555</c:v>
                </c:pt>
                <c:pt idx="6">
                  <c:v>0.9111111111111111</c:v>
                </c:pt>
                <c:pt idx="7">
                  <c:v>0.9111111111111111</c:v>
                </c:pt>
                <c:pt idx="8">
                  <c:v>0.9777777777777777</c:v>
                </c:pt>
                <c:pt idx="9">
                  <c:v>0.9777777777777777</c:v>
                </c:pt>
                <c:pt idx="10">
                  <c:v>1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0704815"/>
        <c:axId val="1390699823"/>
      </c:scatterChart>
      <c:valAx>
        <c:axId val="1390699823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90704815"/>
        <c:crosses val="autoZero"/>
        <c:crossBetween val="midCat"/>
      </c:valAx>
      <c:valAx>
        <c:axId val="1390704815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90699823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00" b="1" i="0" u="none" cap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rPr>
              <a:t>Histogram of the data associated with the variable salary (where the classes do not have the same widths).</a:t>
            </a:r>
          </a:p>
        </c:rich>
      </c:tx>
      <c:layout>
        <c:manualLayout>
          <c:xMode val="edge"/>
          <c:yMode val="edge"/>
          <c:x val="0.10667344706911637"/>
          <c:y val="0"/>
        </c:manualLayout>
      </c:layout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100" b="1" i="0" u="none" cap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22225">
              <a:solidFill>
                <a:schemeClr val="accent1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chemeClr val="accent1">
                  <a:lumMod val="60000"/>
                  <a:lumOff val="40000"/>
                </a:schemeClr>
              </a:solidFill>
              <a:ln xmlns:a="http://schemas.openxmlformats.org/drawingml/2006/main">
                <a:noFill/>
              </a:ln>
            </c:spPr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900" b="0" i="0" u="none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xVal>
            <c:numRef>
              <c:f>'Company A'!$M$49:$M$64</c:f>
              <c:numCache>
                <c:formatCode>General</c:formatCode>
                <c:ptCount val="16"/>
                <c:pt idx="0">
                  <c:v>1500</c:v>
                </c:pt>
                <c:pt idx="1">
                  <c:v>1500</c:v>
                </c:pt>
                <c:pt idx="2">
                  <c:v>1750</c:v>
                </c:pt>
                <c:pt idx="3">
                  <c:v>1750</c:v>
                </c:pt>
                <c:pt idx="4">
                  <c:v>1750</c:v>
                </c:pt>
                <c:pt idx="5">
                  <c:v>2100</c:v>
                </c:pt>
                <c:pt idx="6">
                  <c:v>2100</c:v>
                </c:pt>
                <c:pt idx="7">
                  <c:v>2100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2900</c:v>
                </c:pt>
                <c:pt idx="12">
                  <c:v>2900</c:v>
                </c:pt>
                <c:pt idx="13">
                  <c:v>2900</c:v>
                </c:pt>
                <c:pt idx="14">
                  <c:v>3200</c:v>
                </c:pt>
                <c:pt idx="15">
                  <c:v>3200</c:v>
                </c:pt>
              </c:numCache>
            </c:numRef>
          </c:xVal>
          <c:yVal>
            <c:numRef>
              <c:f>'Company A'!$N$49:$N$64</c:f>
              <c:numCache>
                <c:formatCode>General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0.04</c:v>
                </c:pt>
                <c:pt idx="5">
                  <c:v>0.04</c:v>
                </c:pt>
                <c:pt idx="6">
                  <c:v>0</c:v>
                </c:pt>
                <c:pt idx="7">
                  <c:v>0.04</c:v>
                </c:pt>
                <c:pt idx="8">
                  <c:v>0.04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0.006666666666666667</c:v>
                </c:pt>
                <c:pt idx="14">
                  <c:v>0.006666666666666667</c:v>
                </c:pt>
                <c:pt idx="15">
                  <c:v>0</c:v>
                </c:pt>
              </c:numCache>
            </c:numRef>
          </c:yVal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89208672"/>
        <c:axId val="1389207424"/>
      </c:scatterChart>
      <c:valAx>
        <c:axId val="138920742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dk1">
                  <a:lumMod val="65000"/>
                  <a:lumOff val="35000"/>
                  <a:alpha val="7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 i="0" u="none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lt"/>
                    <a:cs typeface="+mn-lt"/>
                  </a:rPr>
                  <a:t> Height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900" b="1" i="0" u="none">
                  <a:solidFill>
                    <a:schemeClr val="lt1">
                      <a:lumMod val="7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lt1">
                <a:lumMod val="50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lt1">
                    <a:lumMod val="7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89208672"/>
        <c:crosses val="autoZero"/>
        <c:crossBetween val="midCat"/>
      </c:valAx>
      <c:valAx>
        <c:axId val="138920867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dk1">
                  <a:lumMod val="65000"/>
                  <a:lumOff val="35000"/>
                  <a:alpha val="7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1" i="0" u="none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lt"/>
                    <a:cs typeface="+mn-lt"/>
                  </a:rPr>
                  <a:t>Salaries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900" b="1" i="0" u="none">
                  <a:solidFill>
                    <a:schemeClr val="lt1">
                      <a:lumMod val="7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lt1">
                    <a:lumMod val="7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389207424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mpd="sng">
      <a:solidFill>
        <a:schemeClr val="dk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3</xdr:col>
      <xdr:colOff>88900</xdr:colOff>
      <xdr:row>9</xdr:row>
      <xdr:rowOff>107951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59ff6790f84dba"/>
        </a:graphicData>
      </a:graphic>
    </xdr:graphicFrame>
    <xdr:clientData/>
  </xdr:twoCellAnchor>
  <xdr:twoCellAnchor>
    <xdr:from>
      <xdr:col>3</xdr:col>
      <xdr:colOff>101601</xdr:colOff>
      <xdr:row>0</xdr:row>
      <xdr:rowOff>0</xdr:rowOff>
    </xdr:from>
    <xdr:to>
      <xdr:col>6</xdr:col>
      <xdr:colOff>374651</xdr:colOff>
      <xdr:row>9</xdr:row>
      <xdr:rowOff>107949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971803369546f5"/>
        </a:graphicData>
      </a:graphic>
    </xdr:graphicFrame>
    <xdr:clientData/>
  </xdr:twoCellAnchor>
  <xdr:twoCellAnchor>
    <xdr:from>
      <xdr:col>0</xdr:col>
      <xdr:colOff>203200</xdr:colOff>
      <xdr:row>12</xdr:row>
      <xdr:rowOff>95250</xdr:rowOff>
    </xdr:from>
    <xdr:to>
      <xdr:col>3</xdr:col>
      <xdr:colOff>476250</xdr:colOff>
      <xdr:row>23</xdr:row>
      <xdr:rowOff>165100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13cb465264407c"/>
        </a:graphicData>
      </a:graphic>
    </xdr:graphicFrame>
    <xdr:clientData/>
  </xdr:twoCellAnchor>
  <xdr:twoCellAnchor>
    <xdr:from>
      <xdr:col>3</xdr:col>
      <xdr:colOff>476250</xdr:colOff>
      <xdr:row>12</xdr:row>
      <xdr:rowOff>101600</xdr:rowOff>
    </xdr:from>
    <xdr:to>
      <xdr:col>7</xdr:col>
      <xdr:colOff>50800</xdr:colOff>
      <xdr:row>23</xdr:row>
      <xdr:rowOff>177800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0ba5b1eec149fa"/>
        </a:graphicData>
      </a:graphic>
    </xdr:graphicFrame>
    <xdr:clientData/>
  </xdr:twoCellAnchor>
  <xdr:twoCellAnchor>
    <xdr:from>
      <xdr:col>8</xdr:col>
      <xdr:colOff>209550</xdr:colOff>
      <xdr:row>2</xdr:row>
      <xdr:rowOff>63500</xdr:rowOff>
    </xdr:from>
    <xdr:to>
      <xdr:col>14</xdr:col>
      <xdr:colOff>209550</xdr:colOff>
      <xdr:row>17</xdr:row>
      <xdr:rowOff>44450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e4811e95c04d06"/>
        </a:graphicData>
      </a:graphic>
    </xdr:graphicFrame>
    <xdr:clientData/>
  </xdr:twoCellAnchor>
  <xdr:twoCellAnchor>
    <xdr:from>
      <xdr:col>0</xdr:col>
      <xdr:colOff>19050</xdr:colOff>
      <xdr:row>26</xdr:row>
      <xdr:rowOff>0</xdr:rowOff>
    </xdr:from>
    <xdr:to>
      <xdr:col>6</xdr:col>
      <xdr:colOff>19050</xdr:colOff>
      <xdr:row>40</xdr:row>
      <xdr:rowOff>165100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7c31fd8b1143d0"/>
        </a:graphicData>
      </a:graphic>
    </xdr:graphicFrame>
    <xdr:clientData/>
  </xdr:twoCellAnchor>
  <xdr:twoCellAnchor>
    <xdr:from>
      <xdr:col>14</xdr:col>
      <xdr:colOff>673100</xdr:colOff>
      <xdr:row>2</xdr:row>
      <xdr:rowOff>146050</xdr:rowOff>
    </xdr:from>
    <xdr:to>
      <xdr:col>20</xdr:col>
      <xdr:colOff>673100</xdr:colOff>
      <xdr:row>17</xdr:row>
      <xdr:rowOff>127000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300ee6a8864cb8"/>
        </a:graphicData>
      </a:graphic>
    </xdr:graphicFrame>
    <xdr:clientData/>
  </xdr:twoCellAnchor>
  <xdr:twoCellAnchor>
    <xdr:from>
      <xdr:col>15</xdr:col>
      <xdr:colOff>266700</xdr:colOff>
      <xdr:row>24</xdr:row>
      <xdr:rowOff>12700</xdr:rowOff>
    </xdr:from>
    <xdr:to>
      <xdr:col>21</xdr:col>
      <xdr:colOff>266700</xdr:colOff>
      <xdr:row>38</xdr:row>
      <xdr:rowOff>177800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270032c124e72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4f7beecff25046a7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71e3e044c6de4173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728f7ad224ed4049" /></Relationships>
</file>

<file path=xl/pivotTables/pivotTable.xml><?xml version="1.0" encoding="utf-8"?>
<x:pivotTableDefinition xmlns:x="http://schemas.openxmlformats.org/spreadsheetml/2006/main" name="Tableau croisé dynamique3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ies">
  <x:location ref="H62:I65" firstHeaderRow="0" firstDataRow="1" firstDataCol="1"/>
  <x:pivotFields count="4">
    <x:pivotField axis="axisValues" dataField="1" showAll="0" sortType="descending">
      <x:items count="3">
        <x:item x="0"/>
        <x:item x="1"/>
        <x:item t="default"/>
      </x:items>
    </x:pivotField>
    <x:pivotField dataField="0" showAll="0">
      <x:items count="6">
        <x:item x="0"/>
        <x:item x="3"/>
        <x:item x="1"/>
        <x:item x="2"/>
        <x:item x="4"/>
        <x:item x="5"/>
      </x:items>
    </x:pivotField>
    <x:pivotField dataField="0" showAll="0">
      <x:items count="3">
        <x:item x="2"/>
        <x:item x="0"/>
        <x:item x="1"/>
      </x:items>
    </x:pivotField>
    <x:pivotField dataField="0" showAll="0">
      <x:items count="45">
        <x:item x="26"/>
        <x:item x="7"/>
        <x:item x="41"/>
        <x:item x="1"/>
        <x:item x="18"/>
        <x:item x="44"/>
        <x:item x="24"/>
        <x:item x="29"/>
        <x:item x="13"/>
        <x:item x="39"/>
        <x:item x="19"/>
        <x:item x="25"/>
        <x:item x="35"/>
        <x:item x="9"/>
        <x:item x="43"/>
        <x:item x="36"/>
        <x:item x="38"/>
        <x:item x="6"/>
        <x:item x="14"/>
        <x:item x="32"/>
        <x:item x="2"/>
        <x:item x="3"/>
        <x:item x="0"/>
        <x:item x="17"/>
        <x:item x="22"/>
        <x:item x="11"/>
        <x:item x="20"/>
        <x:item x="12"/>
        <x:item x="30"/>
        <x:item x="15"/>
        <x:item x="8"/>
        <x:item x="10"/>
        <x:item x="4"/>
        <x:item x="28"/>
        <x:item x="31"/>
        <x:item x="23"/>
        <x:item x="21"/>
        <x:item x="34"/>
        <x:item x="37"/>
        <x:item x="16"/>
        <x:item x="40"/>
        <x:item x="5"/>
        <x:item x="27"/>
        <x:item x="33"/>
        <x:item x="42"/>
      </x:items>
    </x:pivotField>
  </x:pivotFields>
  <x:rowFields count="1">
    <x:field x="0"/>
  </x:rowFields>
  <x:rowItems count="3">
    <x:i>
      <x:x v="0"/>
    </x:i>
    <x:i>
      <x:x v="1"/>
    </x:i>
    <x:i/>
  </x:rowItems>
  <x:colItems count="1">
    <x:i>
      <x:x v="0"/>
    </x:i>
  </x:colItems>
  <x:dataFields count="1">
    <x:dataField name="ni" fld="0" subtotal="count" baseField="0" baseItem="0"/>
  </x:dataFields>
  <x:formats count="6">
    <x:format dxfId="15">
      <x:pivotArea type="all" dataOnly="0" outline="0" fieldPosition="0"/>
    </x:format>
    <x:format dxfId="14">
      <x:pivotArea outline="0" collapsedLevelsAreSubtotals="1" fieldPosition="0"/>
    </x:format>
    <x:format dxfId="13">
      <x:pivotArea field="0" type="button" dataOnly="0" labelOnly="1" outline="0" axis="axisRow" fieldPosition="0"/>
    </x:format>
    <x:format dxfId="12">
      <x:pivotArea dataOnly="0" labelOnly="1" fieldPosition="0">
        <x:references count="1">
          <x:reference field="0" count="0"/>
        </x:references>
      </x:pivotArea>
    </x:format>
    <x:format dxfId="11">
      <x:pivotArea dataOnly="0" labelOnly="1" grandRow="1" outline="0" fieldPosition="0"/>
    </x:format>
    <x:format dxfId="10">
      <x:pivotArea dataOnly="0" labelOnly="1" outline="0" axis="axisValues" fieldPosition="0"/>
    </x:format>
  </x:formats>
  <x:pivotTableStyleInfo name="PivotStyleMedium12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Tableau croisé dynamique4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ies">
  <x:location ref="H70:I74" firstHeaderRow="0" firstDataRow="1" firstDataCol="1"/>
  <x:pivotFields count="4">
    <x:pivotField dataField="0" showAll="0">
      <x:items count="3">
        <x:item x="1"/>
        <x:item x="0"/>
        <x:item t="default"/>
      </x:items>
    </x:pivotField>
    <x:pivotField dataField="0" showAll="0">
      <x:items count="6">
        <x:item x="0"/>
        <x:item x="3"/>
        <x:item x="1"/>
        <x:item x="2"/>
        <x:item x="4"/>
        <x:item x="5"/>
      </x:items>
    </x:pivotField>
    <x:pivotField axis="axisValues" dataField="1" showAll="0">
      <x:items count="4">
        <x:item x="2"/>
        <x:item x="0"/>
        <x:item x="1"/>
        <x:item t="default"/>
      </x:items>
    </x:pivotField>
    <x:pivotField dataField="0" showAll="0">
      <x:items count="45">
        <x:item x="26"/>
        <x:item x="7"/>
        <x:item x="41"/>
        <x:item x="1"/>
        <x:item x="18"/>
        <x:item x="44"/>
        <x:item x="24"/>
        <x:item x="29"/>
        <x:item x="13"/>
        <x:item x="39"/>
        <x:item x="19"/>
        <x:item x="25"/>
        <x:item x="35"/>
        <x:item x="9"/>
        <x:item x="43"/>
        <x:item x="36"/>
        <x:item x="38"/>
        <x:item x="6"/>
        <x:item x="14"/>
        <x:item x="32"/>
        <x:item x="2"/>
        <x:item x="3"/>
        <x:item x="0"/>
        <x:item x="17"/>
        <x:item x="22"/>
        <x:item x="11"/>
        <x:item x="20"/>
        <x:item x="12"/>
        <x:item x="30"/>
        <x:item x="15"/>
        <x:item x="8"/>
        <x:item x="10"/>
        <x:item x="4"/>
        <x:item x="28"/>
        <x:item x="31"/>
        <x:item x="23"/>
        <x:item x="21"/>
        <x:item x="34"/>
        <x:item x="37"/>
        <x:item x="16"/>
        <x:item x="40"/>
        <x:item x="5"/>
        <x:item x="27"/>
        <x:item x="33"/>
        <x:item x="42"/>
      </x:items>
    </x:pivotField>
  </x:pivotFields>
  <x:rowFields count="1">
    <x:field x="2"/>
  </x:rowFields>
  <x:rowItems count="4">
    <x:i>
      <x:x v="0"/>
    </x:i>
    <x:i>
      <x:x v="1"/>
    </x:i>
    <x:i>
      <x:x v="2"/>
    </x:i>
    <x:i/>
  </x:rowItems>
  <x:colItems count="1">
    <x:i>
      <x:x v="0"/>
    </x:i>
  </x:colItems>
  <x:dataFields count="1">
    <x:dataField name="ni" fld="2" subtotal="count" baseField="0" baseItem="0"/>
  </x:dataFields>
  <x:formats count="5">
    <x:format dxfId="9">
      <x:pivotArea type="all" dataOnly="0" outline="0" fieldPosition="0"/>
    </x:format>
    <x:format dxfId="8">
      <x:pivotArea outline="0" collapsedLevelsAreSubtotals="1" fieldPosition="0"/>
    </x:format>
    <x:format dxfId="7">
      <x:pivotArea field="0" type="button" dataOnly="0" labelOnly="1" outline="0"/>
    </x:format>
    <x:format dxfId="6">
      <x:pivotArea dataOnly="0" labelOnly="1" grandRow="1" outline="0" fieldPosition="0"/>
    </x:format>
    <x:format dxfId="5">
      <x:pivotArea dataOnly="0" labelOnly="1" outline="0" axis="axisValues" fieldPosition="0"/>
    </x:format>
  </x:formats>
  <x:pivotTableStyleInfo name="PivotStyleMedium10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3.xml><?xml version="1.0" encoding="utf-8"?>
<x:pivotTableDefinition xmlns:x="http://schemas.openxmlformats.org/spreadsheetml/2006/main" name="Tableau croisé dynamique5" cacheId="0" applyNumberFormats="0" applyBorderFormats="0" applyFontFormats="0" applyPatternFormats="0" applyAlignmentFormats="0" applyWidthHeightFormats="1" dataCaption="Valeurs" grandTotalCaption="Total " updatedVersion="7" minRefreshableVersion="3" useAutoFormatting="1" itemPrintTitles="1" createdVersion="7" indent="0" outline="1" outlineData="1" multipleFieldFilters="0" rowHeaderCaption="Modalité">
  <x:location ref="H79:I86" firstHeaderRow="0" firstDataRow="1" firstDataCol="1"/>
  <x:pivotFields count="4">
    <x:pivotField dataField="0" showAll="0">
      <x:items count="3">
        <x:item x="1"/>
        <x:item x="0"/>
        <x:item t="default"/>
      </x:items>
    </x:pivotField>
    <x:pivotField axis="axisRow" dataField="0" showAll="0">
      <x:items count="7">
        <x:item x="0"/>
        <x:item x="3"/>
        <x:item x="1"/>
        <x:item x="2"/>
        <x:item x="4"/>
        <x:item x="5"/>
        <x:item t="default"/>
      </x:items>
    </x:pivotField>
    <x:pivotField axis="axisValues" dataField="1" showAll="0">
      <x:items count="4">
        <x:item x="2"/>
        <x:item x="0"/>
        <x:item x="1"/>
        <x:item t="default"/>
      </x:items>
    </x:pivotField>
    <x:pivotField dataField="0" showAll="0">
      <x:items count="45">
        <x:item x="26"/>
        <x:item x="7"/>
        <x:item x="41"/>
        <x:item x="1"/>
        <x:item x="18"/>
        <x:item x="44"/>
        <x:item x="24"/>
        <x:item x="29"/>
        <x:item x="13"/>
        <x:item x="39"/>
        <x:item x="19"/>
        <x:item x="25"/>
        <x:item x="35"/>
        <x:item x="9"/>
        <x:item x="43"/>
        <x:item x="36"/>
        <x:item x="38"/>
        <x:item x="6"/>
        <x:item x="14"/>
        <x:item x="32"/>
        <x:item x="2"/>
        <x:item x="3"/>
        <x:item x="0"/>
        <x:item x="17"/>
        <x:item x="22"/>
        <x:item x="11"/>
        <x:item x="20"/>
        <x:item x="12"/>
        <x:item x="30"/>
        <x:item x="15"/>
        <x:item x="8"/>
        <x:item x="10"/>
        <x:item x="4"/>
        <x:item x="28"/>
        <x:item x="31"/>
        <x:item x="23"/>
        <x:item x="21"/>
        <x:item x="34"/>
        <x:item x="37"/>
        <x:item x="16"/>
        <x:item x="40"/>
        <x:item x="5"/>
        <x:item x="27"/>
        <x:item x="33"/>
        <x:item x="42"/>
      </x:items>
    </x:pivotField>
  </x:pivotFields>
  <x:rowFields count="1">
    <x:field x="1"/>
  </x:rowFields>
  <x:rowItems count="7">
    <x:i>
      <x:x v="0"/>
    </x:i>
    <x:i>
      <x:x v="1"/>
    </x:i>
    <x:i>
      <x:x v="2"/>
    </x:i>
    <x:i>
      <x:x v="3"/>
    </x:i>
    <x:i>
      <x:x v="4"/>
    </x:i>
    <x:i>
      <x:x v="5"/>
    </x:i>
    <x:i/>
  </x:rowItems>
  <x:colItems count="1">
    <x:i>
      <x:x v="0"/>
    </x:i>
  </x:colItems>
  <x:dataFields count="1">
    <x:dataField name="ni" fld="2" subtotal="count" baseField="0" baseItem="0"/>
  </x:dataFields>
  <x:formats count="5">
    <x:format dxfId="4">
      <x:pivotArea type="all" dataOnly="0" outline="0" fieldPosition="0"/>
    </x:format>
    <x:format dxfId="3">
      <x:pivotArea outline="0" collapsedLevelsAreSubtotals="1" fieldPosition="0"/>
    </x:format>
    <x:format dxfId="2">
      <x:pivotArea field="0" type="button" dataOnly="0" labelOnly="1" outline="0"/>
    </x:format>
    <x:format dxfId="1">
      <x:pivotArea dataOnly="0" labelOnly="1" grandRow="1" outline="0" fieldPosition="0"/>
    </x:format>
    <x:format dxfId="0">
      <x:pivotArea dataOnly="0" labelOnly="1" outline="0" axis="axisValues" fieldPosition="0"/>
    </x:format>
  </x:formats>
  <x:pivotTableStyleInfo name="PivotStyleMedium9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5f8653e83e884895" /><Relationship Type="http://schemas.openxmlformats.org/officeDocument/2006/relationships/pivotTable" Target="/xl/pivotTables/pivotTable2.xml" Id="R799bd143da92461f" /><Relationship Type="http://schemas.openxmlformats.org/officeDocument/2006/relationships/pivotTable" Target="/xl/pivotTables/pivotTable3.xml" Id="Ra34cf0ad18214f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69535dd20cb40b6" /></Relationships>
</file>

<file path=xl/worksheets/sheet1.xml><?xml version="1.0" encoding="utf-8"?>
<x:worksheet xmlns:x="http://schemas.openxmlformats.org/spreadsheetml/2006/main">
  <x:sheetFormatPr defaultColWidth="10.90625" defaultRowHeight="14.5"/>
  <x:cols>
    <x:col min="1" max="1" width="10.90625" style="13" customWidth="0"/>
    <x:col min="3" max="3" width="11.6328125" style="14" customWidth="1"/>
    <x:col min="8" max="8" width="12.90625" customWidth="1"/>
    <x:col min="9" max="9" width="10" customWidth="1"/>
    <x:col min="10" max="10" width="14.90625" customWidth="1"/>
    <x:col min="11" max="11" width="28.1796875" customWidth="1"/>
    <x:col min="12" max="12" width="32.453125" customWidth="1"/>
    <x:col min="15" max="15" width="12.4531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5" t="s">
        <x:v>4</x:v>
      </x:c>
      <x:c r="H1" s="10" t="s">
        <x:v>5</x:v>
      </x:c>
    </x:row>
    <x:row r="2">
      <x:c r="A2" s="1">
        <x:v>1</x:v>
      </x:c>
      <x:c r="B2" s="6" t="s">
        <x:v>6</x:v>
      </x:c>
      <x:c r="C2" s="7">
        <x:v>0</x:v>
      </x:c>
      <x:c r="D2" s="8" t="s">
        <x:v>7</x:v>
      </x:c>
      <x:c r="E2" s="9">
        <x:v>2236.75</x:v>
      </x:c>
    </x:row>
    <x:row r="3">
      <x:c r="A3" s="1">
        <x:v>2</x:v>
      </x:c>
      <x:c r="B3" s="6" t="s">
        <x:v>8</x:v>
      </x:c>
      <x:c r="C3" s="7">
        <x:v>2</x:v>
      </x:c>
      <x:c r="D3" s="8" t="s">
        <x:v>7</x:v>
      </x:c>
      <x:c r="E3" s="9">
        <x:v>1688.78</x:v>
      </x:c>
      <x:c r="H3" s="2" t="s">
        <x:v>9</x:v>
      </x:c>
      <x:c r="I3" s="2" t="s">
        <x:v>10</x:v>
      </x:c>
      <x:c r="J3" s="2" t="s">
        <x:v>11</x:v>
      </x:c>
    </x:row>
    <x:row r="4">
      <x:c r="A4" s="1">
        <x:v>3</x:v>
      </x:c>
      <x:c r="B4" s="6" t="s">
        <x:v>6</x:v>
      </x:c>
      <x:c r="C4" s="7">
        <x:v>3</x:v>
      </x:c>
      <x:c r="D4" s="8" t="s">
        <x:v>7</x:v>
      </x:c>
      <x:c r="E4" s="9">
        <x:v>2129.19</x:v>
      </x:c>
      <x:c r="H4" s="6" t="s">
        <x:v>6</x:v>
      </x:c>
      <x:c r="I4" s="6" t="n">
        <x:f> COUNTIF(B2:B46,"H")</x:f>
        <x:v>25</x:v>
      </x:c>
      <x:c r="J4" s="6" t="n">
        <x:f>I4/$I$6</x:f>
        <x:v>0.5555555555555556</x:v>
      </x:c>
    </x:row>
    <x:row r="5">
      <x:c r="A5" s="1">
        <x:v>4</x:v>
      </x:c>
      <x:c r="B5" s="6" t="s">
        <x:v>6</x:v>
      </x:c>
      <x:c r="C5" s="7">
        <x:v>1</x:v>
      </x:c>
      <x:c r="D5" s="8" t="s">
        <x:v>12</x:v>
      </x:c>
      <x:c r="E5" s="9">
        <x:v>2230.44</x:v>
      </x:c>
      <x:c r="H5" s="6" t="s">
        <x:v>8</x:v>
      </x:c>
      <x:c r="I5" s="6" t="n">
        <x:f> COUNTIF(B2:B46,"F")</x:f>
        <x:v>20</x:v>
      </x:c>
      <x:c r="J5" s="6" t="n">
        <x:f>I5/$I$6</x:f>
        <x:v>0.4444444444444444</x:v>
      </x:c>
    </x:row>
    <x:row r="6">
      <x:c r="A6" s="1">
        <x:v>5</x:v>
      </x:c>
      <x:c r="B6" s="6" t="s">
        <x:v>8</x:v>
      </x:c>
      <x:c r="C6" s="7">
        <x:v>2</x:v>
      </x:c>
      <x:c r="D6" s="8" t="s">
        <x:v>7</x:v>
      </x:c>
      <x:c r="E6" s="9">
        <x:v>2464.4</x:v>
      </x:c>
      <x:c r="H6" s="2" t="s">
        <x:v>13</x:v>
      </x:c>
      <x:c r="I6" s="6" t="n">
        <x:f> SUM(I4:I5)</x:f>
        <x:v>45</x:v>
      </x:c>
      <x:c r="J6" s="6" t="n">
        <x:f> SUM(J4:J5)</x:f>
        <x:v>1</x:v>
      </x:c>
    </x:row>
    <x:row r="7">
      <x:c r="A7" s="1">
        <x:v>6</x:v>
      </x:c>
      <x:c r="B7" s="6" t="s">
        <x:v>6</x:v>
      </x:c>
      <x:c r="C7" s="7">
        <x:v>4</x:v>
      </x:c>
      <x:c r="D7" s="8" t="s">
        <x:v>14</x:v>
      </x:c>
      <x:c r="E7" s="9">
        <x:v>2826.96</x:v>
      </x:c>
    </x:row>
    <x:row r="8">
      <x:c r="A8" s="1">
        <x:v>7</x:v>
      </x:c>
      <x:c r="B8" s="6" t="s">
        <x:v>8</x:v>
      </x:c>
      <x:c r="C8" s="7">
        <x:v>2</x:v>
      </x:c>
      <x:c r="D8" s="8" t="s">
        <x:v>7</x:v>
      </x:c>
      <x:c r="E8" s="9">
        <x:v>2078.46</x:v>
      </x:c>
      <x:c r="H8" s="10" t="s">
        <x:v>15</x:v>
      </x:c>
    </x:row>
    <x:row r="9">
      <x:c r="A9" s="1">
        <x:v>8</x:v>
      </x:c>
      <x:c r="B9" s="6" t="s">
        <x:v>6</x:v>
      </x:c>
      <x:c r="C9" s="7">
        <x:v>1</x:v>
      </x:c>
      <x:c r="D9" s="8" t="s">
        <x:v>12</x:v>
      </x:c>
      <x:c r="E9" s="9">
        <x:v>1636.53</x:v>
      </x:c>
    </x:row>
    <x:row r="10">
      <x:c r="A10" s="1">
        <x:v>9</x:v>
      </x:c>
      <x:c r="B10" s="6" t="s">
        <x:v>8</x:v>
      </x:c>
      <x:c r="C10" s="7">
        <x:v>3</x:v>
      </x:c>
      <x:c r="D10" s="8" t="s">
        <x:v>7</x:v>
      </x:c>
      <x:c r="E10" s="9">
        <x:v>2421.13</x:v>
      </x:c>
      <x:c r="H10" s="4" t="s">
        <x:v>9</x:v>
      </x:c>
      <x:c r="I10" s="4" t="s">
        <x:v>10</x:v>
      </x:c>
      <x:c r="J10" s="4" t="s">
        <x:v>11</x:v>
      </x:c>
    </x:row>
    <x:row r="11">
      <x:c r="A11" s="1">
        <x:v>10</x:v>
      </x:c>
      <x:c r="B11" s="6" t="s">
        <x:v>8</x:v>
      </x:c>
      <x:c r="C11" s="7">
        <x:v>4</x:v>
      </x:c>
      <x:c r="D11" s="8" t="s">
        <x:v>12</x:v>
      </x:c>
      <x:c r="E11" s="9">
        <x:v>2015.99</x:v>
      </x:c>
      <x:c r="H11" s="8" t="s">
        <x:v>14</x:v>
      </x:c>
      <x:c r="I11" s="8" t="n">
        <x:f> COUNTIF(D2:D46,"B")</x:f>
        <x:v>5</x:v>
      </x:c>
      <x:c r="J11" s="8" t="n">
        <x:f> I11/$I$14</x:f>
        <x:v>0.1111111111111111</x:v>
      </x:c>
    </x:row>
    <x:row r="12">
      <x:c r="A12" s="1">
        <x:v>11</x:v>
      </x:c>
      <x:c r="B12" s="6" t="s">
        <x:v>6</x:v>
      </x:c>
      <x:c r="C12" s="7">
        <x:v>2</x:v>
      </x:c>
      <x:c r="D12" s="8" t="s">
        <x:v>7</x:v>
      </x:c>
      <x:c r="E12" s="9">
        <x:v>2425.52</x:v>
      </x:c>
      <x:c r="H12" s="8" t="s">
        <x:v>7</x:v>
      </x:c>
      <x:c r="I12" s="8" t="n">
        <x:f> COUNTIF(D2:D46,"L")</x:f>
        <x:v>27</x:v>
      </x:c>
      <x:c r="J12" s="8" t="n">
        <x:f> I12/$I$14</x:f>
        <x:v>0.6</x:v>
      </x:c>
    </x:row>
    <x:row r="13">
      <x:c r="A13" s="1">
        <x:v>12</x:v>
      </x:c>
      <x:c r="B13" s="6" t="s">
        <x:v>6</x:v>
      </x:c>
      <x:c r="C13" s="7">
        <x:v>5</x:v>
      </x:c>
      <x:c r="D13" s="8" t="s">
        <x:v>12</x:v>
      </x:c>
      <x:c r="E13" s="9">
        <x:v>2274.58</x:v>
      </x:c>
      <x:c r="H13" s="8" t="s">
        <x:v>12</x:v>
      </x:c>
      <x:c r="I13" s="8" t="n">
        <x:f> COUNTIF(D2:D46,"MD")</x:f>
        <x:v>13</x:v>
      </x:c>
      <x:c r="J13" s="8" t="n">
        <x:f> I13/$I$14</x:f>
        <x:v>0.28888888888888886</x:v>
      </x:c>
    </x:row>
    <x:row r="14">
      <x:c r="A14" s="1">
        <x:v>13</x:v>
      </x:c>
      <x:c r="B14" s="6" t="s">
        <x:v>8</x:v>
      </x:c>
      <x:c r="C14" s="7">
        <x:v>2</x:v>
      </x:c>
      <x:c r="D14" s="8" t="s">
        <x:v>7</x:v>
      </x:c>
      <x:c r="E14" s="9">
        <x:v>2298.41</x:v>
      </x:c>
      <x:c r="H14" s="4" t="s">
        <x:v>13</x:v>
      </x:c>
      <x:c r="I14" s="8" t="n">
        <x:f> SUM(I11:I13)</x:f>
        <x:v>45</x:v>
      </x:c>
      <x:c r="J14" s="8" t="n">
        <x:f> SUM(J11:J13)</x:f>
        <x:v>0.9999999999999999</x:v>
      </x:c>
    </x:row>
    <x:row r="15">
      <x:c r="A15" s="1">
        <x:v>14</x:v>
      </x:c>
      <x:c r="B15" s="6" t="s">
        <x:v>6</x:v>
      </x:c>
      <x:c r="C15" s="7">
        <x:v>1</x:v>
      </x:c>
      <x:c r="D15" s="8" t="s">
        <x:v>12</x:v>
      </x:c>
      <x:c r="E15" s="9">
        <x:v>1942.28</x:v>
      </x:c>
    </x:row>
    <x:row r="16">
      <x:c r="A16" s="1">
        <x:v>15</x:v>
      </x:c>
      <x:c r="B16" s="6" t="s">
        <x:v>8</x:v>
      </x:c>
      <x:c r="C16" s="7">
        <x:v>3</x:v>
      </x:c>
      <x:c r="D16" s="8" t="s">
        <x:v>14</x:v>
      </x:c>
      <x:c r="E16" s="9">
        <x:v>2082.52</x:v>
      </x:c>
      <x:c r="H16" s="10" t="s">
        <x:v>16</x:v>
      </x:c>
    </x:row>
    <x:row r="17">
      <x:c r="A17" s="1">
        <x:v>16</x:v>
      </x:c>
      <x:c r="B17" s="6" t="s">
        <x:v>6</x:v>
      </x:c>
      <x:c r="C17" s="7">
        <x:v>0</x:v>
      </x:c>
      <x:c r="D17" s="8" t="s">
        <x:v>7</x:v>
      </x:c>
      <x:c r="E17" s="9">
        <x:v>2321.31</x:v>
      </x:c>
    </x:row>
    <x:row r="18">
      <x:c r="A18" s="1">
        <x:v>17</x:v>
      </x:c>
      <x:c r="B18" s="6" t="s">
        <x:v>8</x:v>
      </x:c>
      <x:c r="C18" s="7">
        <x:v>3</x:v>
      </x:c>
      <x:c r="D18" s="8" t="s">
        <x:v>12</x:v>
      </x:c>
      <x:c r="E18" s="9">
        <x:v>2743.92</x:v>
      </x:c>
      <x:c r="H18" s="11" t="s">
        <x:v>9</x:v>
      </x:c>
      <x:c r="I18" s="11" t="s">
        <x:v>10</x:v>
      </x:c>
      <x:c r="J18" s="11" t="s">
        <x:v>11</x:v>
      </x:c>
      <x:c r="K18" s="11" t="s">
        <x:v>17</x:v>
      </x:c>
      <x:c r="L18" s="11" t="s">
        <x:v>18</x:v>
      </x:c>
    </x:row>
    <x:row r="19">
      <x:c r="A19" s="1">
        <x:v>18</x:v>
      </x:c>
      <x:c r="B19" s="6" t="s">
        <x:v>8</x:v>
      </x:c>
      <x:c r="C19" s="7">
        <x:v>2</x:v>
      </x:c>
      <x:c r="D19" s="8" t="s">
        <x:v>7</x:v>
      </x:c>
      <x:c r="E19" s="9">
        <x:v>2261.37</x:v>
      </x:c>
      <x:c r="H19" s="12">
        <x:v>0</x:v>
      </x:c>
      <x:c r="I19" s="12" t="n">
        <x:f> COUNTIF(C2:C46,"0")</x:f>
        <x:v>6</x:v>
      </x:c>
      <x:c r="J19" s="12" t="n">
        <x:f t="shared" ref="J19:J24" si="0">I19/$I$25</x:f>
        <x:v>0.13333333333333333</x:v>
      </x:c>
      <x:c r="K19" s="12" t="n">
        <x:f> I19</x:f>
        <x:v>6</x:v>
      </x:c>
      <x:c r="L19" s="12" t="n">
        <x:f>J19</x:f>
        <x:v>0.13333333333333333</x:v>
      </x:c>
    </x:row>
    <x:row r="20">
      <x:c r="A20" s="1">
        <x:v>19</x:v>
      </x:c>
      <x:c r="B20" s="6" t="s">
        <x:v>6</x:v>
      </x:c>
      <x:c r="C20" s="7">
        <x:v>1</x:v>
      </x:c>
      <x:c r="D20" s="8" t="s">
        <x:v>12</x:v>
      </x:c>
      <x:c r="E20" s="9">
        <x:v>1732.87</x:v>
      </x:c>
      <x:c r="H20" s="12">
        <x:v>1</x:v>
      </x:c>
      <x:c r="I20" s="12" t="n">
        <x:f> COUNTIF(C2:C46,"1")</x:f>
        <x:v>13</x:v>
      </x:c>
      <x:c r="J20" s="12">
        <x:f t="shared" si="0"/>
        <x:v>0.28888888888888886</x:v>
      </x:c>
      <x:c r="K20" s="12" t="n">
        <x:f> K19 +I20</x:f>
        <x:v>19</x:v>
      </x:c>
      <x:c r="L20" s="12" t="n">
        <x:f> L19+J20</x:f>
        <x:v>0.42222222222222217</x:v>
      </x:c>
    </x:row>
    <x:row r="21">
      <x:c r="A21" s="1">
        <x:v>20</x:v>
      </x:c>
      <x:c r="B21" s="6" t="s">
        <x:v>6</x:v>
      </x:c>
      <x:c r="C21" s="7">
        <x:v>0</x:v>
      </x:c>
      <x:c r="D21" s="8" t="s">
        <x:v>7</x:v>
      </x:c>
      <x:c r="E21" s="9">
        <x:v>1991.7</x:v>
      </x:c>
      <x:c r="H21" s="12">
        <x:v>2</x:v>
      </x:c>
      <x:c r="I21" s="12" t="n">
        <x:f> COUNTIF(C2:C46,"2")</x:f>
        <x:v>15</x:v>
      </x:c>
      <x:c r="J21" s="12">
        <x:f t="shared" si="0"/>
        <x:v>0.33333333333333331</x:v>
      </x:c>
      <x:c r="K21" s="12" t="n">
        <x:f t="shared" ref="K21:K24" si="1"> K20 +I21</x:f>
        <x:v>34</x:v>
      </x:c>
      <x:c r="L21" s="12" t="n">
        <x:f> L20+J21</x:f>
        <x:v>0.7555555555555555</x:v>
      </x:c>
    </x:row>
    <x:row r="22">
      <x:c r="A22" s="1">
        <x:v>21</x:v>
      </x:c>
      <x:c r="B22" s="6" t="s">
        <x:v>6</x:v>
      </x:c>
      <x:c r="C22" s="7">
        <x:v>0</x:v>
      </x:c>
      <x:c r="D22" s="8" t="s">
        <x:v>7</x:v>
      </x:c>
      <x:c r="E22" s="9">
        <x:v>2293.5</x:v>
      </x:c>
      <x:c r="H22" s="12">
        <x:v>3</x:v>
      </x:c>
      <x:c r="I22" s="12" t="n">
        <x:f> COUNTIF(C2:C46,"3")</x:f>
        <x:v>7</x:v>
      </x:c>
      <x:c r="J22" s="12">
        <x:f t="shared" si="0"/>
        <x:v>0.15555555555555556</x:v>
      </x:c>
      <x:c r="K22" s="12">
        <x:f t="shared" si="1"/>
        <x:v>41</x:v>
      </x:c>
      <x:c r="L22" s="12" t="n">
        <x:f> L21+J22</x:f>
        <x:v>0.9111111111111111</x:v>
      </x:c>
    </x:row>
    <x:row r="23">
      <x:c r="A23" s="1">
        <x:v>22</x:v>
      </x:c>
      <x:c r="B23" s="6" t="s">
        <x:v>8</x:v>
      </x:c>
      <x:c r="C23" s="7">
        <x:v>1</x:v>
      </x:c>
      <x:c r="D23" s="8" t="s">
        <x:v>7</x:v>
      </x:c>
      <x:c r="E23" s="9">
        <x:v>2516.73</x:v>
      </x:c>
      <x:c r="H23" s="12">
        <x:v>4</x:v>
      </x:c>
      <x:c r="I23" s="12" t="n">
        <x:f> COUNTIF(C2:C46,"4")</x:f>
        <x:v>3</x:v>
      </x:c>
      <x:c r="J23" s="12">
        <x:f t="shared" si="0"/>
        <x:v>6.6666666666666666E-2</x:v>
      </x:c>
      <x:c r="K23" s="12">
        <x:f t="shared" si="1"/>
        <x:v>44</x:v>
      </x:c>
      <x:c r="L23" s="12" t="n">
        <x:f> L22+J23</x:f>
        <x:v>0.9777777777777777</x:v>
      </x:c>
    </x:row>
    <x:row r="24">
      <x:c r="A24" s="1">
        <x:v>23</x:v>
      </x:c>
      <x:c r="B24" s="6" t="s">
        <x:v>6</x:v>
      </x:c>
      <x:c r="C24" s="7">
        <x:v>1</x:v>
      </x:c>
      <x:c r="D24" s="8" t="s">
        <x:v>7</x:v>
      </x:c>
      <x:c r="E24" s="9">
        <x:v>2267.5100000000002</x:v>
      </x:c>
      <x:c r="H24" s="12">
        <x:v>5</x:v>
      </x:c>
      <x:c r="I24" s="12" t="n">
        <x:f> COUNTIF(C2:C46,"5")</x:f>
        <x:v>1</x:v>
      </x:c>
      <x:c r="J24" s="12">
        <x:f t="shared" si="0"/>
        <x:v>2.2222222222222223E-2</x:v>
      </x:c>
      <x:c r="K24" s="12">
        <x:f t="shared" si="1"/>
        <x:v>45</x:v>
      </x:c>
      <x:c r="L24" s="12" t="n">
        <x:f t="shared" ref="L24" si="2"> L23+J24</x:f>
        <x:v>1</x:v>
      </x:c>
    </x:row>
    <x:row r="25">
      <x:c r="A25" s="1">
        <x:v>24</x:v>
      </x:c>
      <x:c r="B25" s="6" t="s">
        <x:v>6</x:v>
      </x:c>
      <x:c r="C25" s="7">
        <x:v>2</x:v>
      </x:c>
      <x:c r="D25" s="8" t="s">
        <x:v>7</x:v>
      </x:c>
      <x:c r="E25" s="9">
        <x:v>2501.9499999999998</x:v>
      </x:c>
      <x:c r="H25" s="11" t="s">
        <x:v>13</x:v>
      </x:c>
      <x:c r="I25" s="12" t="n">
        <x:f> SUM(I19:I24)</x:f>
        <x:v>45</x:v>
      </x:c>
      <x:c r="J25" s="12" t="n">
        <x:f> SUM(J19:J24)</x:f>
        <x:v>1</x:v>
      </x:c>
      <x:c r="K25" s="12"/>
      <x:c r="L25" s="12"/>
    </x:row>
    <x:row r="26">
      <x:c r="A26" s="1">
        <x:v>25</x:v>
      </x:c>
      <x:c r="B26" s="6" t="s">
        <x:v>8</x:v>
      </x:c>
      <x:c r="C26" s="7">
        <x:v>3</x:v>
      </x:c>
      <x:c r="D26" s="8" t="s">
        <x:v>14</x:v>
      </x:c>
      <x:c r="E26" s="9">
        <x:v>1810.49</x:v>
      </x:c>
    </x:row>
    <x:row r="27">
      <x:c r="A27" s="1">
        <x:v>26</x:v>
      </x:c>
      <x:c r="B27" s="6" t="s">
        <x:v>6</x:v>
      </x:c>
      <x:c r="C27" s="7">
        <x:v>2</x:v>
      </x:c>
      <x:c r="D27" s="8" t="s">
        <x:v>7</x:v>
      </x:c>
      <x:c r="E27" s="9">
        <x:v>2003.33</x:v>
      </x:c>
    </x:row>
    <x:row r="28">
      <x:c r="A28" s="1">
        <x:v>27</x:v>
      </x:c>
      <x:c r="B28" s="6" t="s">
        <x:v>8</x:v>
      </x:c>
      <x:c r="C28" s="7">
        <x:v>2</x:v>
      </x:c>
      <x:c r="D28" s="8" t="s">
        <x:v>12</x:v>
      </x:c>
      <x:c r="E28" s="9">
        <x:v>1521.2</x:v>
      </x:c>
      <x:c r="H28" s="10" t="s">
        <x:v>19</x:v>
      </x:c>
    </x:row>
    <x:row r="29">
      <x:c r="A29" s="1">
        <x:v>28</x:v>
      </x:c>
      <x:c r="B29" s="6" t="s">
        <x:v>8</x:v>
      </x:c>
      <x:c r="C29" s="7">
        <x:v>1</x:v>
      </x:c>
      <x:c r="D29" s="8" t="s">
        <x:v>7</x:v>
      </x:c>
      <x:c r="E29" s="9">
        <x:v>2842.23</x:v>
      </x:c>
    </x:row>
    <x:row r="30">
      <x:c r="A30" s="1">
        <x:v>29</x:v>
      </x:c>
      <x:c r="B30" s="6" t="s">
        <x:v>6</x:v>
      </x:c>
      <x:c r="C30" s="7">
        <x:v>2</x:v>
      </x:c>
      <x:c r="D30" s="8" t="s">
        <x:v>14</x:v>
      </x:c>
      <x:c r="E30" s="9">
        <x:v>2466.34</x:v>
      </x:c>
      <x:c r="H30" s="5" t="s">
        <x:v>9</x:v>
      </x:c>
      <x:c r="I30" s="5" t="s">
        <x:v>10</x:v>
      </x:c>
      <x:c r="J30" s="5" t="s">
        <x:v>11</x:v>
      </x:c>
      <x:c r="K30" s="5" t="s">
        <x:v>17</x:v>
      </x:c>
      <x:c r="L30" s="5" t="s">
        <x:v>18</x:v>
      </x:c>
    </x:row>
    <x:row r="31">
      <x:c r="A31" s="1">
        <x:v>30</x:v>
      </x:c>
      <x:c r="B31" s="6" t="s">
        <x:v>6</x:v>
      </x:c>
      <x:c r="C31" s="7">
        <x:v>1</x:v>
      </x:c>
      <x:c r="D31" s="8" t="s">
        <x:v>12</x:v>
      </x:c>
      <x:c r="E31" s="9">
        <x:v>1825.96</x:v>
      </x:c>
      <x:c r="H31" s="5" t="s">
        <x:v>20</x:v>
      </x:c>
      <x:c r="I31" s="9" t="n">
        <x:f> COUNTIFS(E2:E46,"&gt;= 1500", E2:E46, "&lt;1750")</x:f>
        <x:v>5</x:v>
      </x:c>
      <x:c r="J31" s="9" t="n">
        <x:f> I31/$I$36</x:f>
        <x:v>0.1111111111111111</x:v>
      </x:c>
      <x:c r="K31" s="9" t="n">
        <x:f> I31</x:f>
        <x:v>5</x:v>
      </x:c>
      <x:c r="L31" s="9" t="n">
        <x:f> J31</x:f>
        <x:v>0.1111111111111111</x:v>
      </x:c>
    </x:row>
    <x:row r="32">
      <x:c r="A32" s="1">
        <x:v>31</x:v>
      </x:c>
      <x:c r="B32" s="6" t="s">
        <x:v>6</x:v>
      </x:c>
      <x:c r="C32" s="7">
        <x:v>0</x:v>
      </x:c>
      <x:c r="D32" s="8" t="s">
        <x:v>7</x:v>
      </x:c>
      <x:c r="E32" s="9">
        <x:v>2304.39</x:v>
      </x:c>
      <x:c r="H32" s="5" t="s">
        <x:v>21</x:v>
      </x:c>
      <x:c r="I32" s="9" t="n">
        <x:f> COUNTIFS(E2:E46,"&gt;= 1750", E2:E46, "&lt;2100")</x:f>
        <x:v>14</x:v>
      </x:c>
      <x:c r="J32" s="9" t="n">
        <x:f t="shared" ref="J32:J35" si="3"> I32/$I$36</x:f>
        <x:v>0.3111111111111111</x:v>
      </x:c>
      <x:c r="K32" s="9" t="n">
        <x:f> K31 + I32</x:f>
        <x:v>19</x:v>
      </x:c>
      <x:c r="L32" s="9" t="n">
        <x:f> L31+J32</x:f>
        <x:v>0.4222222222222222</x:v>
      </x:c>
    </x:row>
    <x:row r="33">
      <x:c r="A33" s="1">
        <x:v>32</x:v>
      </x:c>
      <x:c r="B33" s="6" t="s">
        <x:v>6</x:v>
      </x:c>
      <x:c r="C33" s="7">
        <x:v>2</x:v>
      </x:c>
      <x:c r="D33" s="8" t="s">
        <x:v>7</x:v>
      </x:c>
      <x:c r="E33" s="9">
        <x:v>2469.86</x:v>
      </x:c>
      <x:c r="H33" s="5" t="s">
        <x:v>22</x:v>
      </x:c>
      <x:c r="I33" s="9" t="n">
        <x:f> COUNTIFS(E2:E46,"&gt;= 2100", E2:E46, "&lt;2500")</x:f>
        <x:v>16</x:v>
      </x:c>
      <x:c r="J33" s="9">
        <x:f t="shared" si="3"/>
        <x:v>0.35555555555555557</x:v>
      </x:c>
      <x:c r="K33" s="9" t="n">
        <x:f t="shared" ref="K33:K35" si="4"> K32 + I33</x:f>
        <x:v>35</x:v>
      </x:c>
      <x:c r="L33" s="9" t="n">
        <x:f> L32+J33</x:f>
        <x:v>0.7777777777777778</x:v>
      </x:c>
    </x:row>
    <x:row r="34">
      <x:c r="A34" s="1">
        <x:v>33</x:v>
      </x:c>
      <x:c r="B34" s="6" t="s">
        <x:v>8</x:v>
      </x:c>
      <x:c r="C34" s="7">
        <x:v>1</x:v>
      </x:c>
      <x:c r="D34" s="8" t="s">
        <x:v>7</x:v>
      </x:c>
      <x:c r="E34" s="9">
        <x:v>2119.34</x:v>
      </x:c>
      <x:c r="H34" s="5" t="s">
        <x:v>23</x:v>
      </x:c>
      <x:c r="I34" s="9" t="n">
        <x:f> COUNTIFS(E2:E46,"&gt;= 2500", E2:E46, "&lt;2900")</x:f>
        <x:v>8</x:v>
      </x:c>
      <x:c r="J34" s="9">
        <x:f t="shared" si="3"/>
        <x:v>0.17777777777777778</x:v>
      </x:c>
      <x:c r="K34" s="9">
        <x:f t="shared" si="4"/>
        <x:v>43</x:v>
      </x:c>
      <x:c r="L34" s="9" t="n">
        <x:f t="shared" ref="L34:L35" si="5"> L33+J34</x:f>
        <x:v>0.9555555555555556</x:v>
      </x:c>
    </x:row>
    <x:row r="35">
      <x:c r="A35" s="1">
        <x:v>34</x:v>
      </x:c>
      <x:c r="B35" s="6" t="s">
        <x:v>6</x:v>
      </x:c>
      <x:c r="C35" s="7">
        <x:v>1</x:v>
      </x:c>
      <x:c r="D35" s="8" t="s">
        <x:v>12</x:v>
      </x:c>
      <x:c r="E35" s="9">
        <x:v>3071.21</x:v>
      </x:c>
      <x:c r="H35" s="5" t="s">
        <x:v>24</x:v>
      </x:c>
      <x:c r="I35" s="9" t="n">
        <x:f> COUNTIFS(E2:E46,"&gt;= 2900", E2:E46, "&lt;3200")</x:f>
        <x:v>2</x:v>
      </x:c>
      <x:c r="J35" s="9">
        <x:f t="shared" si="3"/>
        <x:v>4.4444444444444446E-2</x:v>
      </x:c>
      <x:c r="K35" s="9">
        <x:f t="shared" si="4"/>
        <x:v>45</x:v>
      </x:c>
      <x:c r="L35" s="9">
        <x:f t="shared" si="5"/>
        <x:v>1</x:v>
      </x:c>
    </x:row>
    <x:row r="36">
      <x:c r="A36" s="1">
        <x:v>35</x:v>
      </x:c>
      <x:c r="B36" s="6" t="s">
        <x:v>8</x:v>
      </x:c>
      <x:c r="C36" s="7">
        <x:v>1</x:v>
      </x:c>
      <x:c r="D36" s="8" t="s">
        <x:v>12</x:v>
      </x:c>
      <x:c r="E36" s="9">
        <x:v>2528.3200000000002</x:v>
      </x:c>
      <x:c r="H36" s="5" t="s">
        <x:v>25</x:v>
      </x:c>
      <x:c r="I36" s="9" t="n">
        <x:f> SUM(I31:I35)</x:f>
        <x:v>45</x:v>
      </x:c>
      <x:c r="J36" s="9" t="n">
        <x:f> SUM(J31:J35)</x:f>
        <x:v>1</x:v>
      </x:c>
      <x:c r="K36" s="9"/>
      <x:c r="L36" s="9"/>
    </x:row>
    <x:row r="37">
      <x:c r="A37" s="1">
        <x:v>36</x:v>
      </x:c>
      <x:c r="B37" s="6" t="s">
        <x:v>8</x:v>
      </x:c>
      <x:c r="C37" s="7">
        <x:v>2</x:v>
      </x:c>
      <x:c r="D37" s="8" t="s">
        <x:v>7</x:v>
      </x:c>
      <x:c r="E37" s="9">
        <x:v>2011.97</x:v>
      </x:c>
    </x:row>
    <x:row r="38">
      <x:c r="A38" s="1">
        <x:v>37</x:v>
      </x:c>
      <x:c r="B38" s="6" t="s">
        <x:v>6</x:v>
      </x:c>
      <x:c r="C38" s="7">
        <x:v>2</x:v>
      </x:c>
      <x:c r="D38" s="8" t="s">
        <x:v>7</x:v>
      </x:c>
      <x:c r="E38" s="9">
        <x:v>2042.77</x:v>
      </x:c>
    </x:row>
    <x:row r="39">
      <x:c r="A39" s="1">
        <x:v>38</x:v>
      </x:c>
      <x:c r="B39" s="6" t="s">
        <x:v>8</x:v>
      </x:c>
      <x:c r="C39" s="7">
        <x:v>0</x:v>
      </x:c>
      <x:c r="D39" s="8" t="s">
        <x:v>12</x:v>
      </x:c>
      <x:c r="E39" s="9">
        <x:v>2686.19</x:v>
      </x:c>
      <x:c r="H39" s="15" t="s">
        <x:v>26</x:v>
      </x:c>
      <x:c r="M39" s="10" t="s">
        <x:v>27</x:v>
      </x:c>
    </x:row>
    <x:row r="40">
      <x:c r="A40" s="1">
        <x:v>39</x:v>
      </x:c>
      <x:c r="B40" s="6" t="s">
        <x:v>8</x:v>
      </x:c>
      <x:c r="C40" s="7">
        <x:v>1</x:v>
      </x:c>
      <x:c r="D40" s="8" t="s">
        <x:v>7</x:v>
      </x:c>
      <x:c r="E40" s="9">
        <x:v>2067.7399999999998</x:v>
      </x:c>
      <x:c r="H40" s="17">
        <x:v>1500</x:v>
      </x:c>
      <x:c r="I40" s="6">
        <x:v>0</x:v>
      </x:c>
      <x:c r="M40" s="5" t="s">
        <x:v>9</x:v>
      </x:c>
      <x:c r="N40" s="5" t="s">
        <x:v>10</x:v>
      </x:c>
      <x:c r="O40" s="5" t="s">
        <x:v>28</x:v>
      </x:c>
      <x:c r="P40" s="5" t="s">
        <x:v>29</x:v>
      </x:c>
    </x:row>
    <x:row r="41">
      <x:c r="A41" s="1">
        <x:v>40</x:v>
      </x:c>
      <x:c r="B41" s="6" t="s">
        <x:v>8</x:v>
      </x:c>
      <x:c r="C41" s="7">
        <x:v>3</x:v>
      </x:c>
      <x:c r="D41" s="8" t="s">
        <x:v>7</x:v>
      </x:c>
      <x:c r="E41" s="9">
        <x:v>1957.48</x:v>
      </x:c>
      <x:c r="H41" s="17">
        <x:v>1750</x:v>
      </x:c>
      <x:c r="I41" s="16">
        <x:v>0.1111111111111111</x:v>
      </x:c>
      <x:c r="M41" s="5" t="s">
        <x:v>20</x:v>
      </x:c>
      <x:c r="N41" s="9">
        <x:v>5</x:v>
      </x:c>
      <x:c r="O41" s="9">
        <x:v>250</x:v>
      </x:c>
      <x:c r="P41" s="9" t="n">
        <x:f> N41/O41</x:f>
        <x:v>0.02</x:v>
      </x:c>
    </x:row>
    <x:row r="42">
      <x:c r="A42" s="1">
        <x:v>41</x:v>
      </x:c>
      <x:c r="B42" s="6" t="s">
        <x:v>6</x:v>
      </x:c>
      <x:c r="C42" s="7">
        <x:v>4</x:v>
      </x:c>
      <x:c r="D42" s="8" t="s">
        <x:v>14</x:v>
      </x:c>
      <x:c r="E42" s="9">
        <x:v>2823.24</x:v>
      </x:c>
      <x:c r="H42" s="17">
        <x:v>2100</x:v>
      </x:c>
      <x:c r="I42" s="16">
        <x:v>0.42222222222222222</x:v>
      </x:c>
      <x:c r="M42" s="5" t="s">
        <x:v>21</x:v>
      </x:c>
      <x:c r="N42" s="9">
        <x:v>14</x:v>
      </x:c>
      <x:c r="O42" s="9">
        <x:v>350</x:v>
      </x:c>
      <x:c r="P42" s="9" t="n">
        <x:f t="shared" ref="P42:P44" si="6"> N42/O42</x:f>
        <x:v>0.04</x:v>
      </x:c>
    </x:row>
    <x:row r="43">
      <x:c r="A43" s="1">
        <x:v>42</x:v>
      </x:c>
      <x:c r="B43" s="6" t="s">
        <x:v>6</x:v>
      </x:c>
      <x:c r="C43" s="7">
        <x:v>2</x:v>
      </x:c>
      <x:c r="D43" s="8" t="s">
        <x:v>7</x:v>
      </x:c>
      <x:c r="E43" s="9">
        <x:v>1650.5</x:v>
      </x:c>
      <x:c r="H43" s="17">
        <x:v>2500</x:v>
      </x:c>
      <x:c r="I43" s="16">
        <x:v>0.77777777777777779</x:v>
      </x:c>
      <x:c r="M43" s="5" t="s">
        <x:v>22</x:v>
      </x:c>
      <x:c r="N43" s="9">
        <x:v>16</x:v>
      </x:c>
      <x:c r="O43" s="9">
        <x:v>400</x:v>
      </x:c>
      <x:c r="P43" s="9">
        <x:f t="shared" si="6"/>
        <x:v>0.04</x:v>
      </x:c>
    </x:row>
    <x:row r="44">
      <x:c r="A44" s="1">
        <x:v>43</x:v>
      </x:c>
      <x:c r="B44" s="6" t="s">
        <x:v>6</x:v>
      </x:c>
      <x:c r="C44" s="7">
        <x:v>3</x:v>
      </x:c>
      <x:c r="D44" s="8" t="s">
        <x:v>12</x:v>
      </x:c>
      <x:c r="E44" s="9">
        <x:v>3136.08</x:v>
      </x:c>
      <x:c r="H44" s="17">
        <x:v>2900</x:v>
      </x:c>
      <x:c r="I44" s="16">
        <x:v>0.9555555555555556</x:v>
      </x:c>
      <x:c r="M44" s="5" t="s">
        <x:v>23</x:v>
      </x:c>
      <x:c r="N44" s="9">
        <x:v>8</x:v>
      </x:c>
      <x:c r="O44" s="9">
        <x:v>400</x:v>
      </x:c>
      <x:c r="P44" s="9">
        <x:f t="shared" si="6"/>
        <x:v>0.02</x:v>
      </x:c>
    </x:row>
    <x:row r="45">
      <x:c r="A45" s="1">
        <x:v>44</x:v>
      </x:c>
      <x:c r="B45" s="6" t="s">
        <x:v>6</x:v>
      </x:c>
      <x:c r="C45" s="7">
        <x:v>1</x:v>
      </x:c>
      <x:c r="D45" s="8" t="s">
        <x:v>7</x:v>
      </x:c>
      <x:c r="E45" s="9">
        <x:v>2024.03</x:v>
      </x:c>
      <x:c r="H45" s="17">
        <x:v>3200</x:v>
      </x:c>
      <x:c r="I45" s="16">
        <x:v>1</x:v>
      </x:c>
      <x:c r="M45" s="5" t="s">
        <x:v>24</x:v>
      </x:c>
      <x:c r="N45" s="9">
        <x:v>2</x:v>
      </x:c>
      <x:c r="O45" s="9">
        <x:v>300</x:v>
      </x:c>
      <x:c r="P45" s="9">
        <x:v>6.6666666666666671E-3</x:v>
      </x:c>
    </x:row>
    <x:row r="46">
      <x:c r="A46" s="1">
        <x:v>45</x:v>
      </x:c>
      <x:c r="B46" s="6" t="s">
        <x:v>8</x:v>
      </x:c>
      <x:c r="C46" s="7">
        <x:v>2</x:v>
      </x:c>
      <x:c r="D46" s="8" t="s">
        <x:v>7</x:v>
      </x:c>
      <x:c r="E46" s="9">
        <x:v>1803.14</x:v>
      </x:c>
      <x:c r="M46" s="5" t="s">
        <x:v>25</x:v>
      </x:c>
      <x:c r="N46" s="9">
        <x:v>45</x:v>
      </x:c>
      <x:c r="O46" s="9"/>
      <x:c r="P46" s="9"/>
    </x:row>
    <x:row r="47">
      <x:c r="H47" s="15" t="s">
        <x:v>30</x:v>
      </x:c>
    </x:row>
    <x:row r="48">
      <x:c r="A48" s="13" t="s">
        <x:v>31</x:v>
      </x:c>
      <x:c r="H48">
        <x:v>0</x:v>
      </x:c>
      <x:c r="I48" t="n">
        <x:f>J19</x:f>
        <x:v>0.13333333333333333</x:v>
      </x:c>
    </x:row>
    <x:row r="49">
      <x:c r="A49" s="1" t="n">
        <x:f>COUNT(A2:A46)</x:f>
        <x:v>45</x:v>
      </x:c>
      <x:c r="B49" s="20" t="n">
        <x:f>COUNTA(B2:B46)</x:f>
        <x:v>45</x:v>
      </x:c>
      <x:c r="C49" s="21" t="n">
        <x:f>COUNT(C2:C46)</x:f>
        <x:v>45</x:v>
      </x:c>
      <x:c r="D49" s="22" t="n">
        <x:f>COUNTA(D2:D46)</x:f>
        <x:v>45</x:v>
      </x:c>
      <x:c r="E49" s="23" t="n">
        <x:f>COUNT(E2:E46)</x:f>
        <x:v>45</x:v>
      </x:c>
      <x:c r="H49">
        <x:v>1</x:v>
      </x:c>
      <x:c r="I49" t="n">
        <x:f>J19</x:f>
        <x:v>0.13333333333333333</x:v>
      </x:c>
      <x:c r="M49">
        <x:v>1500</x:v>
      </x:c>
      <x:c r="N49" s="19">
        <x:v>0</x:v>
      </x:c>
    </x:row>
    <x:row r="50">
      <x:c r="H50">
        <x:v>1</x:v>
      </x:c>
      <x:c r="I50" t="n">
        <x:f> L31+J32</x:f>
        <x:v>0.4222222222222222</x:v>
      </x:c>
      <x:c r="M50">
        <x:v>1500</x:v>
      </x:c>
      <x:c r="N50" t="n">
        <x:f> P41</x:f>
        <x:v>0.02</x:v>
      </x:c>
    </x:row>
    <x:row r="51">
      <x:c r="H51">
        <x:v>2</x:v>
      </x:c>
      <x:c r="I51" t="n">
        <x:f> L31+J32</x:f>
        <x:v>0.4222222222222222</x:v>
      </x:c>
      <x:c r="M51">
        <x:v>1750</x:v>
      </x:c>
      <x:c r="N51">
        <x:v>0.02</x:v>
      </x:c>
    </x:row>
    <x:row r="52">
      <x:c r="H52">
        <x:v>2</x:v>
      </x:c>
      <x:c r="I52" t="n">
        <x:f> L20+J21</x:f>
        <x:v>0.7555555555555555</x:v>
      </x:c>
      <x:c r="M52">
        <x:v>1750</x:v>
      </x:c>
      <x:c r="N52">
        <x:v>0</x:v>
      </x:c>
    </x:row>
    <x:row r="53">
      <x:c r="H53">
        <x:v>3</x:v>
      </x:c>
      <x:c r="I53" t="n">
        <x:f> L20+J21</x:f>
        <x:v>0.7555555555555555</x:v>
      </x:c>
      <x:c r="M53">
        <x:v>1750</x:v>
      </x:c>
      <x:c r="N53" t="n">
        <x:f>P42</x:f>
        <x:v>0.04</x:v>
      </x:c>
    </x:row>
    <x:row r="54">
      <x:c r="H54">
        <x:v>3</x:v>
      </x:c>
      <x:c r="I54" t="n">
        <x:f> L21+J22</x:f>
        <x:v>0.9111111111111111</x:v>
      </x:c>
      <x:c r="M54">
        <x:v>2100</x:v>
      </x:c>
      <x:c r="N54">
        <x:v>0.04</x:v>
      </x:c>
    </x:row>
    <x:row r="55">
      <x:c r="H55">
        <x:v>4</x:v>
      </x:c>
      <x:c r="I55" t="n">
        <x:f> L21+J22</x:f>
        <x:v>0.9111111111111111</x:v>
      </x:c>
      <x:c r="M55">
        <x:v>2100</x:v>
      </x:c>
      <x:c r="N55">
        <x:v>0</x:v>
      </x:c>
    </x:row>
    <x:row r="56">
      <x:c r="H56">
        <x:v>4</x:v>
      </x:c>
      <x:c r="I56" t="n">
        <x:f> L22+J23</x:f>
        <x:v>0.9777777777777777</x:v>
      </x:c>
      <x:c r="M56">
        <x:v>2100</x:v>
      </x:c>
      <x:c r="N56" t="n">
        <x:f>P43</x:f>
        <x:v>0.04</x:v>
      </x:c>
    </x:row>
    <x:row r="57">
      <x:c r="H57">
        <x:v>5</x:v>
      </x:c>
      <x:c r="I57" t="n">
        <x:f> L22+J23</x:f>
        <x:v>0.9777777777777777</x:v>
      </x:c>
      <x:c r="M57">
        <x:v>2500</x:v>
      </x:c>
      <x:c r="N57">
        <x:v>0.04</x:v>
      </x:c>
    </x:row>
    <x:row r="58">
      <x:c r="H58">
        <x:v>5</x:v>
      </x:c>
      <x:c r="I58">
        <x:v>1</x:v>
      </x:c>
      <x:c r="M58">
        <x:v>2500</x:v>
      </x:c>
      <x:c r="N58">
        <x:v>0</x:v>
      </x:c>
    </x:row>
    <x:row r="59">
      <x:c r="M59">
        <x:v>2500</x:v>
      </x:c>
      <x:c r="N59" t="n">
        <x:f> P44</x:f>
        <x:v>0.02</x:v>
      </x:c>
    </x:row>
    <x:row r="60">
      <x:c r="H60" s="10" t="s">
        <x:v>32</x:v>
      </x:c>
      <x:c r="M60">
        <x:v>2900</x:v>
      </x:c>
      <x:c r="N60">
        <x:v>0.02</x:v>
      </x:c>
    </x:row>
    <x:row r="61">
      <x:c r="M61">
        <x:v>2900</x:v>
      </x:c>
      <x:c r="N61">
        <x:v>0</x:v>
      </x:c>
    </x:row>
    <x:row r="62">
      <x:c r="H62" s="24" t="str">
        <x:v>Row Labels</x:v>
      </x:c>
      <x:c r="I62" s="25" t="str">
        <x:v>ni</x:v>
      </x:c>
      <x:c r="M62">
        <x:v>2900</x:v>
      </x:c>
      <x:c r="N62" t="n">
        <x:f>N63</x:f>
        <x:v>0.006666666666666667</x:v>
      </x:c>
    </x:row>
    <x:row r="63">
      <x:c r="H63" s="25" t="str">
        <x:v>H</x:v>
      </x:c>
      <x:c r="I63" s="26" t="n">
        <x:v>25</x:v>
      </x:c>
      <x:c r="M63">
        <x:v>3200</x:v>
      </x:c>
      <x:c r="N63" s="18">
        <x:v>6.6666666666666671E-3</x:v>
      </x:c>
    </x:row>
    <x:row r="64">
      <x:c r="H64" s="25" t="str">
        <x:v>F</x:v>
      </x:c>
      <x:c r="I64" s="26" t="n">
        <x:v>20</x:v>
      </x:c>
      <x:c r="M64">
        <x:v>3200</x:v>
      </x:c>
      <x:c r="N64">
        <x:v>0</x:v>
      </x:c>
    </x:row>
    <x:row r="65">
      <x:c r="H65" s="25" t="str">
        <x:v>Grand Total</x:v>
      </x:c>
      <x:c r="I65" s="26" t="n">
        <x:v>45</x:v>
      </x:c>
    </x:row>
    <x:row r="68">
      <x:c r="H68" s="10" t="s">
        <x:v>33</x:v>
      </x:c>
    </x:row>
    <x:row r="70">
      <x:c r="H70" s="24" t="str">
        <x:v>Row Labels</x:v>
      </x:c>
      <x:c r="I70" s="25" t="str">
        <x:v>ni</x:v>
      </x:c>
    </x:row>
    <x:row r="71">
      <x:c r="H71" s="25" t="str">
        <x:v>B</x:v>
      </x:c>
      <x:c r="I71" s="26" t="n">
        <x:v>5</x:v>
      </x:c>
    </x:row>
    <x:row r="72">
      <x:c r="H72" s="25" t="str">
        <x:v>L</x:v>
      </x:c>
      <x:c r="I72" s="26" t="n">
        <x:v>27</x:v>
      </x:c>
    </x:row>
    <x:row r="73">
      <x:c r="H73" s="25" t="str">
        <x:v>MD</x:v>
      </x:c>
      <x:c r="I73" s="26" t="n">
        <x:v>13</x:v>
      </x:c>
    </x:row>
    <x:row r="74">
      <x:c r="H74" s="25" t="str">
        <x:v>Grand Total</x:v>
      </x:c>
      <x:c r="I74" s="26" t="n">
        <x:v>45</x:v>
      </x:c>
    </x:row>
    <x:row r="77">
      <x:c r="H77" s="10" t="s">
        <x:v>34</x:v>
      </x:c>
    </x:row>
    <x:row r="79">
      <x:c r="H79" s="24" t="str">
        <x:v>Row Labels</x:v>
      </x:c>
      <x:c r="I79" s="25" t="str">
        <x:v>ni</x:v>
      </x:c>
    </x:row>
    <x:row r="80">
      <x:c r="H80" s="25" t="str">
        <x:v>0</x:v>
      </x:c>
      <x:c r="I80" s="26" t="n">
        <x:v>6</x:v>
      </x:c>
    </x:row>
    <x:row r="81">
      <x:c r="H81" s="25" t="str">
        <x:v>1</x:v>
      </x:c>
      <x:c r="I81" s="26" t="n">
        <x:v>13</x:v>
      </x:c>
    </x:row>
    <x:row r="82">
      <x:c r="H82" s="25" t="str">
        <x:v>2</x:v>
      </x:c>
      <x:c r="I82" s="26" t="n">
        <x:v>15</x:v>
      </x:c>
    </x:row>
    <x:row r="83">
      <x:c r="H83" s="25" t="str">
        <x:v>3</x:v>
      </x:c>
      <x:c r="I83" s="26" t="n">
        <x:v>7</x:v>
      </x:c>
    </x:row>
    <x:row r="84">
      <x:c r="H84" s="25" t="str">
        <x:v>4</x:v>
      </x:c>
      <x:c r="I84" s="26" t="n">
        <x:v>3</x:v>
      </x:c>
    </x:row>
    <x:row r="85">
      <x:c r="H85" s="25" t="str">
        <x:v>5</x:v>
      </x:c>
      <x:c r="I85" s="26" t="n">
        <x:v>1</x:v>
      </x:c>
    </x:row>
    <x:row r="86">
      <x:c r="H86" s="25" t="str">
        <x:v>Grand Total</x:v>
      </x:c>
      <x:c r="I86" s="26" t="n">
        <x:v>45</x:v>
      </x:c>
    </x:row>
    <x:row r="88">
      <x:c r="H88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90625" defaultRowHeight="14.5"/>
  <x:sheetData/>
  <x:pageMargins left="0.7" right="0.7" top="0.75" bottom="0.75" header="0.3" footer="0.3"/>
  <x:drawing xmlns:r="http://schemas.openxmlformats.org/officeDocument/2006/relationships" r:id="Rd69535dd20cb40b6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d040a36c15424b92" /></Relationships>
</file>

<file path=pivotCache/pivotCacheDefinition1.xml><?xml version="1.0" encoding="utf-8"?>
<x:pivotCacheDefinition xmlns:x="http://schemas.openxmlformats.org/spreadsheetml/2006/main" refreshedBy="Léa HISLER-BAYLE" refreshedDate="44496.51835162037" createdVersion="7" refreshedVersion="7" minRefreshableVersion="3" recordCount="45">
  <x:cacheSource type="worksheet">
    <x:worksheetSource ref="B1:E46" sheet="Company A"/>
  </x:cacheSource>
  <x:cacheFields count="4">
    <x:cacheField name="Gender" numFmtId="0">
      <x:sharedItems/>
    </x:cacheField>
    <x:cacheField name="Nb of children" numFmtId="0">
      <x:sharedItems containsSemiMixedTypes="0" containsString="0" containsNumber="1" minValue="0" maxValue="5"/>
    </x:cacheField>
    <x:cacheField name="Study" numFmtId="0">
      <x:sharedItems/>
    </x:cacheField>
    <x:cacheField name="Salary" numFmtId="0">
      <x:sharedItems containsSemiMixedTypes="0" containsString="0" containsNumber="1" minValue="1521.2" maxValue="3136.08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45">
  <x:r>
    <x:x v="0"/>
    <x:x v="0"/>
    <x:x v="0"/>
    <x:x v="0"/>
  </x:r>
  <x:r>
    <x:x v="1"/>
    <x:x v="1"/>
    <x:x v="0"/>
    <x:x v="1"/>
  </x:r>
  <x:r>
    <x:x v="0"/>
    <x:x v="2"/>
    <x:x v="0"/>
    <x:x v="2"/>
  </x:r>
  <x:r>
    <x:x v="0"/>
    <x:x v="3"/>
    <x:x v="1"/>
    <x:x v="3"/>
  </x:r>
  <x:r>
    <x:x v="1"/>
    <x:x v="1"/>
    <x:x v="0"/>
    <x:x v="4"/>
  </x:r>
  <x:r>
    <x:x v="0"/>
    <x:x v="4"/>
    <x:x v="2"/>
    <x:x v="5"/>
  </x:r>
  <x:r>
    <x:x v="1"/>
    <x:x v="1"/>
    <x:x v="0"/>
    <x:x v="6"/>
  </x:r>
  <x:r>
    <x:x v="0"/>
    <x:x v="3"/>
    <x:x v="1"/>
    <x:x v="7"/>
  </x:r>
  <x:r>
    <x:x v="1"/>
    <x:x v="2"/>
    <x:x v="0"/>
    <x:x v="8"/>
  </x:r>
  <x:r>
    <x:x v="1"/>
    <x:x v="4"/>
    <x:x v="1"/>
    <x:x v="9"/>
  </x:r>
  <x:r>
    <x:x v="0"/>
    <x:x v="1"/>
    <x:x v="0"/>
    <x:x v="10"/>
  </x:r>
  <x:r>
    <x:x v="0"/>
    <x:x v="5"/>
    <x:x v="1"/>
    <x:x v="11"/>
  </x:r>
  <x:r>
    <x:x v="1"/>
    <x:x v="1"/>
    <x:x v="0"/>
    <x:x v="12"/>
  </x:r>
  <x:r>
    <x:x v="0"/>
    <x:x v="3"/>
    <x:x v="1"/>
    <x:x v="13"/>
  </x:r>
  <x:r>
    <x:x v="1"/>
    <x:x v="2"/>
    <x:x v="2"/>
    <x:x v="14"/>
  </x:r>
  <x:r>
    <x:x v="0"/>
    <x:x v="0"/>
    <x:x v="0"/>
    <x:x v="15"/>
  </x:r>
  <x:r>
    <x:x v="1"/>
    <x:x v="2"/>
    <x:x v="1"/>
    <x:x v="16"/>
  </x:r>
  <x:r>
    <x:x v="1"/>
    <x:x v="1"/>
    <x:x v="0"/>
    <x:x v="17"/>
  </x:r>
  <x:r>
    <x:x v="0"/>
    <x:x v="3"/>
    <x:x v="1"/>
    <x:x v="18"/>
  </x:r>
  <x:r>
    <x:x v="0"/>
    <x:x v="0"/>
    <x:x v="0"/>
    <x:x v="19"/>
  </x:r>
  <x:r>
    <x:x v="0"/>
    <x:x v="0"/>
    <x:x v="0"/>
    <x:x v="20"/>
  </x:r>
  <x:r>
    <x:x v="1"/>
    <x:x v="3"/>
    <x:x v="0"/>
    <x:x v="21"/>
  </x:r>
  <x:r>
    <x:x v="0"/>
    <x:x v="3"/>
    <x:x v="0"/>
    <x:x v="22"/>
  </x:r>
  <x:r>
    <x:x v="0"/>
    <x:x v="1"/>
    <x:x v="0"/>
    <x:x v="23"/>
  </x:r>
  <x:r>
    <x:x v="1"/>
    <x:x v="2"/>
    <x:x v="2"/>
    <x:x v="24"/>
  </x:r>
  <x:r>
    <x:x v="0"/>
    <x:x v="1"/>
    <x:x v="0"/>
    <x:x v="25"/>
  </x:r>
  <x:r>
    <x:x v="1"/>
    <x:x v="1"/>
    <x:x v="1"/>
    <x:x v="26"/>
  </x:r>
  <x:r>
    <x:x v="1"/>
    <x:x v="3"/>
    <x:x v="0"/>
    <x:x v="27"/>
  </x:r>
  <x:r>
    <x:x v="0"/>
    <x:x v="1"/>
    <x:x v="2"/>
    <x:x v="28"/>
  </x:r>
  <x:r>
    <x:x v="0"/>
    <x:x v="3"/>
    <x:x v="1"/>
    <x:x v="29"/>
  </x:r>
  <x:r>
    <x:x v="0"/>
    <x:x v="0"/>
    <x:x v="0"/>
    <x:x v="30"/>
  </x:r>
  <x:r>
    <x:x v="0"/>
    <x:x v="1"/>
    <x:x v="0"/>
    <x:x v="31"/>
  </x:r>
  <x:r>
    <x:x v="1"/>
    <x:x v="3"/>
    <x:x v="0"/>
    <x:x v="32"/>
  </x:r>
  <x:r>
    <x:x v="0"/>
    <x:x v="3"/>
    <x:x v="1"/>
    <x:x v="33"/>
  </x:r>
  <x:r>
    <x:x v="1"/>
    <x:x v="3"/>
    <x:x v="1"/>
    <x:x v="34"/>
  </x:r>
  <x:r>
    <x:x v="1"/>
    <x:x v="1"/>
    <x:x v="0"/>
    <x:x v="35"/>
  </x:r>
  <x:r>
    <x:x v="0"/>
    <x:x v="1"/>
    <x:x v="0"/>
    <x:x v="36"/>
  </x:r>
  <x:r>
    <x:x v="1"/>
    <x:x v="0"/>
    <x:x v="1"/>
    <x:x v="37"/>
  </x:r>
  <x:r>
    <x:x v="1"/>
    <x:x v="3"/>
    <x:x v="0"/>
    <x:x v="38"/>
  </x:r>
  <x:r>
    <x:x v="1"/>
    <x:x v="2"/>
    <x:x v="0"/>
    <x:x v="39"/>
  </x:r>
  <x:r>
    <x:x v="0"/>
    <x:x v="4"/>
    <x:x v="2"/>
    <x:x v="40"/>
  </x:r>
  <x:r>
    <x:x v="0"/>
    <x:x v="1"/>
    <x:x v="0"/>
    <x:x v="41"/>
  </x:r>
  <x:r>
    <x:x v="0"/>
    <x:x v="2"/>
    <x:x v="1"/>
    <x:x v="42"/>
  </x:r>
  <x:r>
    <x:x v="0"/>
    <x:x v="3"/>
    <x:x v="0"/>
    <x:x v="43"/>
  </x:r>
  <x:r>
    <x:x v="1"/>
    <x:x v="1"/>
    <x:x v="0"/>
    <x:x v="44"/>
  </x:r>
</x:pivotCacheRecords>
</file>