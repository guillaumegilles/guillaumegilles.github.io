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1928bc6e1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ester 1" sheetId="1" r:id="Rbcfdb29288314770"/>
    <x:sheet xmlns:r="http://schemas.openxmlformats.org/officeDocument/2006/relationships" name="Graphs - S1" sheetId="2" r:id="R1541af40c831433a"/>
    <x:sheet xmlns:r="http://schemas.openxmlformats.org/officeDocument/2006/relationships" name="Semester 2" sheetId="4" r:id="Rb35fd464f769497e"/>
    <x:sheet xmlns:r="http://schemas.openxmlformats.org/officeDocument/2006/relationships" name="Graphs - S2" sheetId="5" r:id="R0c83fd1fe17e4438"/>
  </x:sheets>
  <x:definedNames>
    <x:definedName name="_xlchart.v1.0" hidden="1">'Semester 1'!$C$2:$C$46</x:definedName>
    <x:definedName name="_xlchart.v1.1" hidden="1">'Semester 1'!$B$1</x:definedName>
    <x:definedName name="_xlchart.v1.2" hidden="1">'Semester 1'!$B$2:$B$46</x:definedName>
    <x:definedName name="_xlchart.v1.3" hidden="1">'Semester 1'!$C$1</x:definedName>
    <x:definedName name="_xlchart.v1.4" hidden="1">'Semester 1'!$C$2:$C$46</x:definedName>
    <x:definedName name="_xlchart.v1.5" hidden="1">'Semester 1'!$B$2:$B$46</x:definedName>
  </x:definedNames>
</x:workbook>
</file>

<file path=xl/sharedStrings.xml><?xml version="1.0" encoding="utf-8"?>
<x:sst xmlns:x="http://schemas.openxmlformats.org/spreadsheetml/2006/main">
  <x:si>
    <x:t xml:space="preserve">Student</x:t>
  </x:si>
  <x:si>
    <x:t xml:space="preserve">Mid-Term Exam</x:t>
  </x:si>
  <x:si>
    <x:t xml:space="preserve">Continuous Assessment</x:t>
  </x:si>
  <x:si>
    <x:t xml:space="preserve">Table 1: Summaries - "Mid-term Exam" variable </x:t>
  </x:si>
  <x:si>
    <x:t xml:space="preserve">Maximum</x:t>
  </x:si>
  <x:si>
    <x:t xml:space="preserve">Minimum </x:t>
  </x:si>
  <x:si>
    <x:t xml:space="preserve">First quartile</x:t>
  </x:si>
  <x:si>
    <x:t xml:space="preserve">Median</x:t>
  </x:si>
  <x:si>
    <x:t xml:space="preserve">Third quartile </x:t>
  </x:si>
  <x:si>
    <x:t xml:space="preserve">Left Pivot</x:t>
  </x:si>
  <x:si>
    <x:t xml:space="preserve">Left limt</x:t>
  </x:si>
  <x:si>
    <x:t xml:space="preserve">Equal to the Minimum</x:t>
  </x:si>
  <x:si>
    <x:t xml:space="preserve">Right Pivot</x:t>
  </x:si>
  <x:si>
    <x:t xml:space="preserve">Right limit</x:t>
  </x:si>
  <x:si>
    <x:t xml:space="preserve">Equal to the Maximum</x:t>
  </x:si>
  <x:si>
    <x:t xml:space="preserve">Table 2: Summaries - "Continuous Assessment" variable </x:t>
  </x:si>
  <x:si>
    <x:t xml:space="preserve">NOT Equal to the Minimum</x:t>
  </x:si>
  <x:si>
    <x:t xml:space="preserve">NOT Equal to the Maximum</x:t>
  </x:si>
  <x:si>
    <x:t xml:space="preserve">Number of students</x:t>
  </x:si>
  <x:si>
    <x:t xml:space="preserve">Table 1: operations - Data associated to the "Mid-term Exam" variable </x:t>
  </x:si>
  <x:si>
    <x:t xml:space="preserve">Less than 5</x:t>
  </x:si>
  <x:si>
    <x:t xml:space="preserve">[5 ; 7[</x:t>
  </x:si>
  <x:si>
    <x:t xml:space="preserve">a_i</x:t>
  </x:si>
  <x:si>
    <x:t xml:space="preserve">f_i</x:t>
  </x:si>
  <x:si>
    <x:t xml:space="preserve">n_i^+</x:t>
  </x:si>
  <x:si>
    <x:t xml:space="preserve">f_i^+</x:t>
  </x:si>
  <x:si>
    <x:t xml:space="preserve">[7 ; 10[</x:t>
  </x:si>
  <x:si>
    <x:t xml:space="preserve">[10 ; 14[</x:t>
  </x:si>
  <x:si>
    <x:t xml:space="preserve">[14 ; 18[</x:t>
  </x:si>
  <x:si>
    <x:t xml:space="preserve">More than 18</x:t>
  </x:si>
  <x:si>
    <x:t xml:space="preserve">Total</x:t>
  </x:si>
  <x:si>
    <x:t xml:space="preserve">Table 2 : quartiles / pivots / limits - data associated with the variable "Mid-Term Exam"</x:t>
  </x:si>
  <x:si>
    <x:t xml:space="preserve">First quartile (q1)</x:t>
  </x:si>
  <x:si>
    <x:t xml:space="preserve">Median (Me)</x:t>
  </x:si>
  <x:si>
    <x:t xml:space="preserve">Third quartile (q3)</x:t>
  </x:si>
  <x:si>
    <x:t xml:space="preserve">Left Pivot (pg)</x:t>
  </x:si>
  <x:si>
    <x:t xml:space="preserve">Right Pivot (pd)</x:t>
  </x:si>
  <x:si>
    <x:t xml:space="preserve">Left limit (lg)</x:t>
  </x:si>
  <x:si>
    <x:t xml:space="preserve">equal to left limit by convention</x:t>
  </x:si>
  <x:si>
    <x:t xml:space="preserve">Right limit (ld)</x:t>
  </x:si>
  <x:si>
    <x:t xml:space="preserve">equal to right limit by convention</x:t>
  </x:si>
  <x:si>
    <x:t xml:space="preserve">Table 3 : operations - Data associated to the "Continuous Assessment" variable </x:t>
  </x:si>
  <x:si>
    <x:t xml:space="preserve">Table 4 : quartiles / pivots / limits - data associated with the variable "Continuous Assessment"</x:t>
  </x:si>
  <x:si>
    <x:t xml:space="preserve">Premier quartile (q1)</x:t>
  </x:si>
  <x:si>
    <x:t xml:space="preserve">lg</x:t>
  </x:si>
  <x:si>
    <x:t xml:space="preserve">Médiane (mé)</x:t>
  </x:si>
  <x:si>
    <x:t xml:space="preserve">q1 - lg</x:t>
  </x:si>
  <x:si>
    <x:t xml:space="preserve">Troisième quartile (q3)</x:t>
  </x:si>
  <x:si>
    <x:t xml:space="preserve">me - q1</x:t>
  </x:si>
  <x:si>
    <x:t xml:space="preserve">Pivot gauche (pg)</x:t>
  </x:si>
  <x:si>
    <x:t xml:space="preserve">q3 - me</x:t>
  </x:si>
  <x:si>
    <x:t xml:space="preserve">Pivot droit (pd)</x:t>
  </x:si>
  <x:si>
    <x:t xml:space="preserve">ld - q3</x:t>
  </x:si>
  <x:si>
    <x:t xml:space="preserve">Limite gauche (lg)</x:t>
  </x:si>
  <x:si>
    <x:t xml:space="preserve">Limte droite (ld)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</x:si>
</x:sst>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theme="1"/>
      <x:name val="Cambria"/>
    </x:font>
    <x:font>
      <x:b/>
      <x:sz val="11"/>
      <x:color theme="1"/>
      <x:name val="Calibri"/>
    </x:font>
    <x:font>
      <x:sz val="11"/>
      <x:color theme="1"/>
      <x:name val="Cambria"/>
    </x:font>
    <x:font>
      <x:sz val="11"/>
      <x:color rgb="FFFF0000"/>
      <x:name val="Cambria"/>
    </x:font>
  </x:fonts>
  <x:fills count="6">
    <x:fill>
      <x:patternFill patternType="none"/>
    </x:fill>
    <x:fill>
      <x:patternFill patternType="gray125"/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00B0F0"/>
      </x:patternFill>
    </x:fill>
    <x:fill>
      <x:patternFill patternType="solid">
        <x:fgColor theme="7" tint="0.39998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Font="1"/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left"/>
    </x:xf>
    <x:xf numFmtId="0" fontId="0" fillId="2" borderId="1" xfId="0" applyFill="1" applyBorder="1"/>
    <x:xf numFmtId="0" fontId="1" fillId="2" borderId="1" xfId="0" applyFont="1" applyFill="1" applyBorder="1"/>
    <x:xf numFmtId="0" fontId="3" fillId="2" borderId="1" xfId="0" applyFont="1" applyFill="1" applyBorder="1"/>
    <x:xf numFmtId="0" fontId="1" fillId="4" borderId="1" xfId="0" applyFont="1" applyFill="1" applyBorder="1"/>
    <x:xf numFmtId="0" fontId="0" fillId="4" borderId="1" xfId="0" applyFill="1" applyBorder="1"/>
    <x:xf numFmtId="0" fontId="3" fillId="4" borderId="1" xfId="0" applyFont="1" applyFill="1" applyBorder="1"/>
    <x:xf numFmtId="0" fontId="1" fillId="5" borderId="1" xfId="0" applyFont="1" applyFill="1" applyBorder="1"/>
    <x:xf numFmtId="0" fontId="0" fillId="5" borderId="1" xfId="0" applyFill="1" applyBorder="1"/>
    <x:xf numFmtId="0" fontId="4" fillId="2" borderId="1" xfId="0" applyFont="1" applyFill="1" applyBorder="1"/>
    <x:xf numFmtId="0" fontId="1" fillId="0" borderId="1" xfId="0" applyFont="1" applyBorder="1"/>
    <x:xf numFmtId="0" fontId="3" fillId="0" borderId="1" xfId="0" applyFont="1" applyBorder="1"/>
    <x:xf numFmtId="0" fontId="0" fillId="0" borderId="1" xfId="0" applyBorder="1"/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1" fillId="2" borderId="1" xfId="0" applyFont="1" applyFill="1" applyBorder="1"/>
    <x:xf numFmtId="0" fontId="0" fillId="0" borderId="0" xfId="0" applyFill="1" applyBorder="1"/>
    <x:xf numFmtId="0" fontId="1" fillId="0" borderId="0" xfId="0" applyFont="1" applyFill="1" applyBorder="1"/>
    <x:xf numFmtId="0" fontId="1" fillId="0" borderId="0" xfId="0" applyFont="1" applyAlignment="1"/>
    <x:xf numFmtId="0" fontId="1" fillId="0" borderId="0" xfId="0" applyFont="1"/>
    <x:xf numFmtId="0" fontId="0" fillId="0" borderId="0" xfId="0"/>
    <x:xf numFmtId="0" fontId="1" fillId="0" borderId="0" xfId="0" applyFont="1" applyAlignment="1">
      <x:alignment horizontal="left"/>
    </x:xf>
    <x:xf numFmtId="0" fontId="0" fillId="0" borderId="0" xfId="0"/>
    <x:xf numFmtId="0" fontId="1" fillId="3" borderId="1" xfId="0" applyFont="1" applyFill="1" applyBorder="1"/>
    <x:xf numFmtId="0" fontId="3" fillId="3" borderId="1" xfId="0" applyFont="1" applyFill="1" applyBorder="1"/>
    <x:xf numFmtId="0" fontId="1" fillId="2" borderId="1" xfId="0" applyFont="1" applyFill="1" applyBorder="1"/>
    <x:xf numFmtId="0" fontId="0" fillId="0" borderId="0" xfId="0"/>
    <x:xf numFmtId="0" fontId="1" fillId="2" borderId="1" xfId="0" applyFont="1" applyFill="1" applyBorder="1"/>
    <x:xf numFmtId="0" fontId="1" fillId="3" borderId="1" xfId="0" applyFont="1" applyFill="1" applyBorder="1"/>
    <x:xf numFmtId="0" fontId="3" fillId="3" borderId="1" xfId="0" applyFont="1" applyFill="1" applyBorder="1"/>
    <x:xf numFmtId="0" fontId="0" fillId="0" borderId="0" xfId="0"/>
    <x:xf numFmtId="0" fontId="1" fillId="0" borderId="0" xfId="0" applyFont="1"/>
    <x:xf numFmtId="0" fontId="1" fillId="2" borderId="1" xfId="0" applyFont="1" applyFill="1" applyBorder="1"/>
    <x:xf numFmtId="0" fontId="1" fillId="3" borderId="1" xfId="0" applyFont="1" applyFill="1" applyBorder="1"/>
    <x:xf numFmtId="0" fontId="3" fillId="3" borderId="1" xfId="0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1f65c8ced64ca5" /><Relationship Type="http://schemas.openxmlformats.org/officeDocument/2006/relationships/theme" Target="/xl/theme/theme1.xml" Id="R7e246cc43bd4457b" /><Relationship Type="http://schemas.openxmlformats.org/officeDocument/2006/relationships/sharedStrings" Target="/xl/sharedStrings.xml" Id="Ra7e3c148994b4ad4" /><Relationship Type="http://schemas.openxmlformats.org/officeDocument/2006/relationships/worksheet" Target="/xl/worksheets/sheet1.xml" Id="Rbcfdb29288314770" /><Relationship Type="http://schemas.openxmlformats.org/officeDocument/2006/relationships/worksheet" Target="/xl/worksheets/sheet2.xml" Id="R1541af40c831433a" /><Relationship Type="http://schemas.openxmlformats.org/officeDocument/2006/relationships/worksheet" Target="/xl/worksheets/sheet3.xml" Id="Rb35fd464f769497e" /><Relationship Type="http://schemas.openxmlformats.org/officeDocument/2006/relationships/worksheet" Target="/xl/worksheets/sheet4.xml" Id="R0c83fd1fe17e44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39a52a370e4d64" /><Relationship Type="http://schemas.openxmlformats.org/officeDocument/2006/relationships/chart" Target="/xl/drawings/charts/chart2.xml" Id="R9e3d33a19c454e45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Grade Mid Term - Semester 2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'Graphs - S2'!$D$1</c:f>
              <c:strCache>
                <c:ptCount val="1"/>
                <c:pt idx="0">
                  <c:v>lg</c:v>
                </c:pt>
              </c:strCache>
            </c:strRef>
          </c:tx>
          <c: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</a:ln>
          </c:spPr>
          <c:cat>
            <c:strLit>
              <c:ptCount val="0"/>
            </c:strLit>
          </c:cat>
          <c:val>
            <c:numRef>
              <c:f>'Graphs - S2'!$E$1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ser>
          <c:idx val="1"/>
          <c:order val="1"/>
          <c:tx>
            <c:strRef>
              <c:f>'Graphs - S2'!$D$2</c:f>
              <c:strCache>
                <c:ptCount val="1"/>
                <c:pt idx="0">
                  <c:v>q1 - lg</c:v>
                </c:pt>
              </c:strCache>
            </c:strRef>
          </c:tx>
          <c:spPr>
            <a:solidFill xmlns:a="http://schemas.openxmlformats.org/drawingml/2006/main">
              <a:schemeClr val="bg1"/>
            </a:solidFill>
            <a:ln xmlns:a="http://schemas.openxmlformats.org/drawingml/2006/main">
              <a:noFill/>
            </a:ln>
          </c:spPr>
          <c:cat>
            <c:strLit>
              <c:ptCount val="0"/>
            </c:strLit>
          </c:cat>
          <c:val>
            <c:numRef>
              <c:f>'Graphs - S2'!$E$2</c:f>
              <c:numCache>
                <c:formatCode>General</c:formatCode>
                <c:ptCount val="1"/>
                <c:pt idx="0">
                  <c:v>3.25</c:v>
                </c:pt>
              </c:numCache>
            </c:numRef>
          </c:val>
        </c:ser>
        <c:ser>
          <c:idx val="2"/>
          <c:order val="2"/>
          <c:tx>
            <c:strRef>
              <c:f>'Graphs - S2'!$D$3</c:f>
              <c:strCache>
                <c:ptCount val="1"/>
                <c:pt idx="0">
                  <c:v>me - q1</c:v>
                </c:pt>
              </c:strCache>
            </c:strRef>
          </c:tx>
          <c: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</a:ln>
          </c:spPr>
          <c:dPt>
            <c:idx val="0"/>
            <c:spPr>
              <a:solidFill xmlns:a="http://schemas.openxmlformats.org/drawingml/2006/main">
                <a:schemeClr val="bg2">
                  <a:lumMod val="90000"/>
                </a:schemeClr>
              </a:solidFill>
              <a:ln xmlns:a="http://schemas.openxmlformats.org/drawingml/2006/main" w="19050">
                <a:solidFill>
                  <a:schemeClr val="tx1"/>
                </a:solidFill>
              </a:ln>
            </c:spPr>
          </c:dPt>
          <c:cat>
            <c:strLit>
              <c:ptCount val="0"/>
            </c:strLit>
          </c:cat>
          <c:val>
            <c:numRef>
              <c:f>'Graphs - S2'!$E$3</c:f>
              <c:numCache>
                <c:formatCode>General</c:formatCode>
                <c:ptCount val="1"/>
                <c:pt idx="0">
                  <c:v>4.25</c:v>
                </c:pt>
              </c:numCache>
            </c:numRef>
          </c:val>
        </c:ser>
        <c:ser>
          <c:idx val="3"/>
          <c:order val="3"/>
          <c:tx>
            <c:strRef>
              <c:f>'Graphs - S2'!$D$4</c:f>
              <c:strCache>
                <c:ptCount val="1"/>
                <c:pt idx="0">
                  <c:v>q3 - me</c:v>
                </c:pt>
              </c:strCache>
            </c:strRef>
          </c:tx>
          <c:spPr>
            <a:solidFill xmlns:a="http://schemas.openxmlformats.org/drawingml/2006/main">
              <a:schemeClr val="accent4"/>
            </a:solidFill>
            <a:ln xmlns:a="http://schemas.openxmlformats.org/drawingml/2006/main">
              <a:solidFill>
                <a:srgbClr val="0070C0"/>
              </a:solidFill>
            </a:ln>
          </c:spPr>
          <c:dPt>
            <c:idx val="0"/>
            <c:spPr>
              <a:solidFill xmlns:a="http://schemas.openxmlformats.org/drawingml/2006/main">
                <a:schemeClr val="bg2"/>
              </a:solidFill>
              <a:ln xmlns:a="http://schemas.openxmlformats.org/drawingml/2006/main" w="19050">
                <a:solidFill>
                  <a:schemeClr val="tx1"/>
                </a:solidFill>
              </a:ln>
            </c:spPr>
          </c:dPt>
          <c:cat>
            <c:strLit>
              <c:ptCount val="0"/>
            </c:strLit>
          </c:cat>
          <c:val>
            <c:numRef>
              <c:f>'Graphs - S2'!$E$4</c:f>
              <c:numCache>
                <c:formatCode>General</c:formatCode>
                <c:ptCount val="1"/>
                <c:pt idx="0">
                  <c:v>3.833333333333334</c:v>
                </c:pt>
              </c:numCache>
            </c:numRef>
          </c:val>
        </c:ser>
        <c:ser>
          <c:idx val="4"/>
          <c:order val="4"/>
          <c:tx>
            <c:strRef>
              <c:f>'Graphs - S2'!$D$5</c:f>
              <c:strCache>
                <c:ptCount val="1"/>
                <c:pt idx="0">
                  <c:v>ld - q3</c:v>
                </c:pt>
              </c:strCache>
            </c:strRef>
          </c:tx>
          <c:spPr>
            <a:solidFill xmlns:a="http://schemas.openxmlformats.org/drawingml/2006/main">
              <a:schemeClr val="bg1"/>
            </a:solidFill>
            <a:ln xmlns:a="http://schemas.openxmlformats.org/drawingml/2006/main">
              <a:noFill/>
            </a:ln>
          </c:spPr>
          <c:cat>
            <c:strLit>
              <c:ptCount val="0"/>
            </c:strLit>
          </c:cat>
          <c:val>
            <c:numRef>
              <c:f>'Graphs - S2'!$E$5</c:f>
              <c:numCache>
                <c:formatCode>General</c:formatCode>
                <c:ptCount val="1"/>
                <c:pt idx="0">
                  <c:v>5.666666666666666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088399"/>
        <c:axId val="162087151"/>
      </c:barChart>
      <c:catAx>
        <c:axId val="16208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62087151"/>
        <c:crosses val="autoZero"/>
        <c:lblAlgn val="ctr"/>
        <c:lblOffset val="100"/>
        <c:noMultiLvlLbl val="0"/>
      </c:catAx>
      <c:valAx>
        <c:axId val="162087151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62088399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Grade Continuous Assessment - Semester 2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'Graphs - S2'!$D$20</c:f>
              <c:strCache>
                <c:ptCount val="1"/>
                <c:pt idx="0">
                  <c:v>lg</c:v>
                </c:pt>
              </c:strCache>
            </c:strRef>
          </c:tx>
          <c: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</a:ln>
          </c:spPr>
          <c:cat>
            <c:strLit>
              <c:ptCount val="0"/>
            </c:strLit>
          </c:cat>
          <c:val>
            <c:numRef>
              <c:f>'Graphs - S2'!$E$20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ser>
          <c:idx val="1"/>
          <c:order val="1"/>
          <c:tx>
            <c:strRef>
              <c:f>'Graphs - S2'!$D$21</c:f>
              <c:strCache>
                <c:ptCount val="1"/>
                <c:pt idx="0">
                  <c:v>q1 - lg</c:v>
                </c:pt>
              </c:strCache>
            </c:strRef>
          </c:tx>
          <c: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</a:ln>
          </c:spPr>
          <c:cat>
            <c:strLit>
              <c:ptCount val="0"/>
            </c:strLit>
          </c:cat>
          <c:val>
            <c:numRef>
              <c:f>'Graphs - S2'!$E$21</c:f>
              <c:numCache>
                <c:formatCode>General</c:formatCode>
                <c:ptCount val="1"/>
                <c:pt idx="0">
                  <c:v>4.083333333333333</c:v>
                </c:pt>
              </c:numCache>
            </c:numRef>
          </c:val>
        </c:ser>
        <c:ser>
          <c:idx val="2"/>
          <c:order val="2"/>
          <c:tx>
            <c:strRef>
              <c:f>'Graphs - S2'!$D$22</c:f>
              <c:strCache>
                <c:ptCount val="1"/>
                <c:pt idx="0">
                  <c:v>me - q1</c:v>
                </c:pt>
              </c:strCache>
            </c:strRef>
          </c:tx>
          <c:spPr>
            <a:solidFill xmlns:a="http://schemas.openxmlformats.org/drawingml/2006/main">
              <a:schemeClr val="accent5"/>
            </a:solidFill>
            <a:ln xmlns:a="http://schemas.openxmlformats.org/drawingml/2006/main" w="19050">
              <a:solidFill>
                <a:schemeClr val="tx1"/>
              </a:solidFill>
            </a:ln>
          </c:spPr>
          <c:cat>
            <c:strLit>
              <c:ptCount val="0"/>
            </c:strLit>
          </c:cat>
          <c:val>
            <c:numRef>
              <c:f>'Graphs - S2'!$E$22</c:f>
              <c:numCache>
                <c:formatCode>General</c:formatCode>
                <c:ptCount val="1"/>
                <c:pt idx="0">
                  <c:v>3.685897435897437</c:v>
                </c:pt>
              </c:numCache>
            </c:numRef>
          </c:val>
        </c:ser>
        <c:ser>
          <c:idx val="3"/>
          <c:order val="3"/>
          <c:tx>
            <c:strRef>
              <c:f>'Graphs - S2'!$D$23</c:f>
              <c:strCache>
                <c:ptCount val="1"/>
                <c:pt idx="0">
                  <c:v>q3 - me</c:v>
                </c:pt>
              </c:strCache>
            </c:strRef>
          </c:tx>
          <c:spPr>
            <a:solidFill xmlns:a="http://schemas.openxmlformats.org/drawingml/2006/main">
              <a:schemeClr val="accent5"/>
            </a:solidFill>
            <a:ln xmlns:a="http://schemas.openxmlformats.org/drawingml/2006/main" w="19050">
              <a:solidFill>
                <a:schemeClr val="tx1"/>
              </a:solidFill>
            </a:ln>
          </c:spPr>
          <c:cat>
            <c:strLit>
              <c:ptCount val="0"/>
            </c:strLit>
          </c:cat>
          <c:val>
            <c:numRef>
              <c:f>'Graphs - S2'!$E$23</c:f>
              <c:numCache>
                <c:formatCode>General</c:formatCode>
                <c:ptCount val="1"/>
                <c:pt idx="0">
                  <c:v>3.5307692307692307</c:v>
                </c:pt>
              </c:numCache>
            </c:numRef>
          </c:val>
        </c:ser>
        <c:ser>
          <c:idx val="4"/>
          <c:order val="4"/>
          <c:tx>
            <c:strRef>
              <c:f>'Graphs - S2'!$D$24</c:f>
              <c:strCache>
                <c:ptCount val="1"/>
                <c:pt idx="0">
                  <c:v>ld - q3</c:v>
                </c:pt>
              </c:strCache>
            </c:strRef>
          </c:tx>
          <c:spPr>
            <a:solidFill xmlns:a="http://schemas.openxmlformats.org/drawingml/2006/main">
              <a:schemeClr val="bg1"/>
            </a:solidFill>
            <a:ln xmlns:a="http://schemas.openxmlformats.org/drawingml/2006/main">
              <a:noFill/>
            </a:ln>
          </c:spPr>
          <c:cat>
            <c:strLit>
              <c:ptCount val="0"/>
            </c:strLit>
          </c:cat>
          <c:val>
            <c:numRef>
              <c:f>'Graphs - S2'!$E$24</c:f>
              <c:numCache>
                <c:formatCode>General</c:formatCode>
                <c:ptCount val="1"/>
                <c:pt idx="0">
                  <c:v>5.699999999999999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069599"/>
        <c:axId val="91059615"/>
      </c:barChart>
      <c:catAx>
        <c:axId val="9106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91059615"/>
        <c:crosses val="autoZero"/>
        <c:lblAlgn val="ctr"/>
        <c:lblOffset val="100"/>
        <c:noMultiLvlLbl val="0"/>
      </c:catAx>
      <c:valAx>
        <c:axId val="91059615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91069599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701675</xdr:colOff>
      <xdr:row>1</xdr:row>
      <xdr:rowOff>66675</xdr:rowOff>
    </xdr:from>
    <xdr:to>
      <xdr:col>12</xdr:col>
      <xdr:colOff>701675</xdr:colOff>
      <xdr:row>16</xdr:row>
      <xdr:rowOff>47625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39a52a370e4d64"/>
        </a:graphicData>
      </a:graphic>
    </xdr:graphicFrame>
    <xdr:clientData/>
  </xdr:twoCellAnchor>
  <xdr:twoCellAnchor>
    <xdr:from>
      <xdr:col>6</xdr:col>
      <xdr:colOff>714375</xdr:colOff>
      <xdr:row>16</xdr:row>
      <xdr:rowOff>60325</xdr:rowOff>
    </xdr:from>
    <xdr:to>
      <xdr:col>12</xdr:col>
      <xdr:colOff>714375</xdr:colOff>
      <xdr:row>31</xdr:row>
      <xdr:rowOff>41275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3d33a19c454e4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be03ae9de1804e76" /></Relationships>
</file>

<file path=xl/worksheets/sheet1.xml><?xml version="1.0" encoding="utf-8"?>
<x:worksheet xmlns:x="http://schemas.openxmlformats.org/spreadsheetml/2006/main">
  <x:sheetFormatPr baseColWidth="10" defaultColWidth="10.90625" defaultRowHeight="14.5"/>
  <x:cols>
    <x:col min="2" max="3" width="30.6328125" style="2" customWidth="1"/>
    <x:col min="4" max="4" width="10.90625" style="19" customWidth="0"/>
    <x:col min="6" max="7" width="19.6328125" customWidth="1"/>
  </x:cols>
  <x:sheetData>
    <x:row r="1">
      <x:c r="A1" s="16" t="s">
        <x:v>0</x:v>
      </x:c>
      <x:c r="B1" s="17" t="s">
        <x:v>1</x:v>
      </x:c>
      <x:c r="C1" s="17" t="s">
        <x:v>2</x:v>
      </x:c>
    </x:row>
    <x:row r="2">
      <x:c r="A2" s="3">
        <x:v>1</x:v>
      </x:c>
      <x:c r="B2" s="2">
        <x:v>10</x:v>
      </x:c>
      <x:c r="C2" s="2">
        <x:v>11</x:v>
      </x:c>
    </x:row>
    <x:row r="3">
      <x:c r="A3" s="3">
        <x:f> A2+1</x:f>
        <x:v>2</x:v>
      </x:c>
      <x:c r="B3" s="2">
        <x:v>12</x:v>
      </x:c>
      <x:c r="C3" s="2">
        <x:v>13</x:v>
      </x:c>
      <x:c r="F3" s="22"/>
    </x:row>
    <x:row r="4">
      <x:c r="A4" s="3">
        <x:f t="shared" ref="A4:A46" si="0"> A3+1</x:f>
        <x:v>3</x:v>
      </x:c>
      <x:c r="B4" s="2">
        <x:v>11</x:v>
      </x:c>
      <x:c r="C4" s="2">
        <x:v>10</x:v>
      </x:c>
      <x:c r="F4" s="22" t="s">
        <x:v>3</x:v>
      </x:c>
    </x:row>
    <x:row r="5">
      <x:c r="A5" s="3">
        <x:f t="shared" si="0"/>
        <x:v>4</x:v>
      </x:c>
      <x:c r="B5" s="2">
        <x:v>9</x:v>
      </x:c>
      <x:c r="C5" s="2">
        <x:v>12</x:v>
      </x:c>
    </x:row>
    <x:row r="6">
      <x:c r="A6" s="3">
        <x:f t="shared" si="0"/>
        <x:v>5</x:v>
      </x:c>
      <x:c r="B6" s="2">
        <x:v>3</x:v>
      </x:c>
      <x:c r="C6" s="2">
        <x:v>6</x:v>
      </x:c>
      <x:c r="D6" s="20"/>
      <x:c r="F6" s="18" t="s">
        <x:v>4</x:v>
      </x:c>
      <x:c r="G6" s="4">
        <x:f> MAX(B2:B46)</x:f>
        <x:v>19</x:v>
      </x:c>
    </x:row>
    <x:row r="7">
      <x:c r="A7" s="3">
        <x:f t="shared" si="0"/>
        <x:v>6</x:v>
      </x:c>
      <x:c r="B7" s="2">
        <x:v>5</x:v>
      </x:c>
      <x:c r="C7" s="2">
        <x:v>9</x:v>
      </x:c>
      <x:c r="D7" s="20"/>
      <x:c r="F7" s="18" t="s">
        <x:v>5</x:v>
      </x:c>
      <x:c r="G7" s="4">
        <x:f> MIN(B2:B46)</x:f>
        <x:v>1</x:v>
      </x:c>
    </x:row>
    <x:row r="8">
      <x:c r="A8" s="3">
        <x:f t="shared" si="0"/>
        <x:v>7</x:v>
      </x:c>
      <x:c r="B8" s="2">
        <x:v>14</x:v>
      </x:c>
      <x:c r="C8" s="2">
        <x:v>15</x:v>
      </x:c>
      <x:c r="D8" s="20"/>
      <x:c r="F8" s="18" t="s">
        <x:v>6</x:v>
      </x:c>
      <x:c r="G8" s="4">
        <x:f> QUARTILE(B2:B46,1)</x:f>
        <x:v>8</x:v>
      </x:c>
    </x:row>
    <x:row r="9">
      <x:c r="A9" s="3">
        <x:f t="shared" si="0"/>
        <x:v>8</x:v>
      </x:c>
      <x:c r="B9" s="2">
        <x:v>12</x:v>
      </x:c>
      <x:c r="C9" s="2">
        <x:v>12</x:v>
      </x:c>
      <x:c r="D9" s="20"/>
      <x:c r="F9" s="18" t="s">
        <x:v>7</x:v>
      </x:c>
      <x:c r="G9" s="4">
        <x:f>QUARTILE(B2:B46,2)</x:f>
        <x:v>11</x:v>
      </x:c>
    </x:row>
    <x:row r="10">
      <x:c r="A10" s="3">
        <x:f t="shared" si="0"/>
        <x:v>9</x:v>
      </x:c>
      <x:c r="B10" s="2">
        <x:v>11</x:v>
      </x:c>
      <x:c r="C10" s="2">
        <x:v>13</x:v>
      </x:c>
      <x:c r="D10" s="20"/>
      <x:c r="F10" s="18" t="s">
        <x:v>8</x:v>
      </x:c>
      <x:c r="G10" s="4">
        <x:f>QUARTILE(B2:B46,3)</x:f>
        <x:v>13</x:v>
      </x:c>
    </x:row>
    <x:row r="11">
      <x:c r="A11" s="3">
        <x:f t="shared" si="0"/>
        <x:v>10</x:v>
      </x:c>
      <x:c r="B11" s="2">
        <x:v>13</x:v>
      </x:c>
      <x:c r="C11" s="2">
        <x:v>12</x:v>
      </x:c>
      <x:c r="D11" s="20"/>
      <x:c r="F11" s="5" t="s">
        <x:v>9</x:v>
      </x:c>
      <x:c r="G11" s="4">
        <x:f> G8 - 1.5*(G10 - G8)</x:f>
        <x:v>0.5</x:v>
      </x:c>
    </x:row>
    <x:row r="12">
      <x:c r="A12" s="3">
        <x:f t="shared" si="0"/>
        <x:v>11</x:v>
      </x:c>
      <x:c r="B12" s="2">
        <x:v>11</x:v>
      </x:c>
      <x:c r="C12" s="2">
        <x:v>10</x:v>
      </x:c>
      <x:c r="D12" s="20"/>
      <x:c r="F12" s="5" t="s">
        <x:v>10</x:v>
      </x:c>
      <x:c r="G12" s="4">
        <x:v>1</x:v>
      </x:c>
      <x:c r="H12" t="s">
        <x:v>11</x:v>
      </x:c>
    </x:row>
    <x:row r="13">
      <x:c r="A13" s="3">
        <x:f t="shared" si="0"/>
        <x:v>12</x:v>
      </x:c>
      <x:c r="B13" s="2">
        <x:v>8</x:v>
      </x:c>
      <x:c r="C13" s="2">
        <x:v>9</x:v>
      </x:c>
      <x:c r="D13" s="20"/>
      <x:c r="F13" s="5" t="s">
        <x:v>12</x:v>
      </x:c>
      <x:c r="G13" s="4">
        <x:f> G10 + 1.5*(G10-G8)</x:f>
        <x:v>20.5</x:v>
      </x:c>
    </x:row>
    <x:row r="14">
      <x:c r="A14" s="3">
        <x:f t="shared" si="0"/>
        <x:v>13</x:v>
      </x:c>
      <x:c r="B14" s="2">
        <x:v>18</x:v>
      </x:c>
      <x:c r="C14" s="2">
        <x:v>19</x:v>
      </x:c>
      <x:c r="D14" s="20"/>
      <x:c r="F14" s="5" t="s">
        <x:v>13</x:v>
      </x:c>
      <x:c r="G14" s="4">
        <x:v>19</x:v>
      </x:c>
      <x:c r="H14" t="s">
        <x:v>14</x:v>
      </x:c>
    </x:row>
    <x:row r="15">
      <x:c r="A15" s="3">
        <x:f t="shared" si="0"/>
        <x:v>14</x:v>
      </x:c>
      <x:c r="B15" s="2">
        <x:v>9</x:v>
      </x:c>
      <x:c r="C15" s="2">
        <x:v>10</x:v>
      </x:c>
      <x:c r="D15" s="20"/>
    </x:row>
    <x:row r="16">
      <x:c r="A16" s="3">
        <x:f t="shared" si="0"/>
        <x:v>15</x:v>
      </x:c>
      <x:c r="B16" s="2">
        <x:v>10</x:v>
      </x:c>
      <x:c r="C16" s="2">
        <x:v>9</x:v>
      </x:c>
      <x:c r="D16" s="20"/>
      <x:c r="F16" s="24"/>
    </x:row>
    <x:row r="17">
      <x:c r="A17" s="3">
        <x:f t="shared" si="0"/>
        <x:v>16</x:v>
      </x:c>
      <x:c r="B17" s="2">
        <x:v>11</x:v>
      </x:c>
      <x:c r="C17" s="2">
        <x:v>12</x:v>
      </x:c>
      <x:c r="D17" s="20"/>
      <x:c r="F17" s="24" t="s">
        <x:v>15</x:v>
      </x:c>
    </x:row>
    <x:row r="18">
      <x:c r="A18" s="3">
        <x:f t="shared" si="0"/>
        <x:v>17</x:v>
      </x:c>
      <x:c r="B18" s="2">
        <x:v>12</x:v>
      </x:c>
      <x:c r="C18" s="2">
        <x:v>13</x:v>
      </x:c>
      <x:c r="D18" s="20"/>
    </x:row>
    <x:row r="19">
      <x:c r="A19" s="3">
        <x:f t="shared" si="0"/>
        <x:v>18</x:v>
      </x:c>
      <x:c r="B19" s="2">
        <x:v>3</x:v>
      </x:c>
      <x:c r="C19" s="2">
        <x:v>5</x:v>
      </x:c>
      <x:c r="D19" s="20"/>
      <x:c r="F19" s="18" t="s">
        <x:v>4</x:v>
      </x:c>
      <x:c r="G19" s="4">
        <x:f> MAX(C2:C46)</x:f>
        <x:v>19</x:v>
      </x:c>
    </x:row>
    <x:row r="20">
      <x:c r="A20" s="3">
        <x:f t="shared" si="0"/>
        <x:v>19</x:v>
      </x:c>
      <x:c r="B20" s="2">
        <x:v>1</x:v>
      </x:c>
      <x:c r="C20" s="2">
        <x:v>5</x:v>
      </x:c>
      <x:c r="D20" s="20"/>
      <x:c r="F20" s="18" t="s">
        <x:v>5</x:v>
      </x:c>
      <x:c r="G20" s="4">
        <x:f> MIN(C2:C46)</x:f>
        <x:v>5</x:v>
      </x:c>
    </x:row>
    <x:row r="21">
      <x:c r="A21" s="3">
        <x:f t="shared" si="0"/>
        <x:v>20</x:v>
      </x:c>
      <x:c r="B21" s="2">
        <x:v>2</x:v>
      </x:c>
      <x:c r="C21" s="2">
        <x:v>9</x:v>
      </x:c>
      <x:c r="F21" s="18" t="s">
        <x:v>6</x:v>
      </x:c>
      <x:c r="G21" s="4">
        <x:f> QUARTILE(C2:C46, 1)</x:f>
        <x:v>10</x:v>
      </x:c>
    </x:row>
    <x:row r="22">
      <x:c r="A22" s="3">
        <x:f t="shared" si="0"/>
        <x:v>21</x:v>
      </x:c>
      <x:c r="B22" s="2">
        <x:v>5</x:v>
      </x:c>
      <x:c r="C22" s="2">
        <x:v>13</x:v>
      </x:c>
      <x:c r="F22" s="18" t="s">
        <x:v>7</x:v>
      </x:c>
      <x:c r="G22" s="4">
        <x:f> QUARTILE(C2:C46,2)</x:f>
        <x:v>12</x:v>
      </x:c>
    </x:row>
    <x:row r="23">
      <x:c r="A23" s="3">
        <x:f t="shared" si="0"/>
        <x:v>22</x:v>
      </x:c>
      <x:c r="B23" s="2">
        <x:v>6</x:v>
      </x:c>
      <x:c r="C23" s="2">
        <x:v>12</x:v>
      </x:c>
      <x:c r="F23" s="18" t="s">
        <x:v>8</x:v>
      </x:c>
      <x:c r="G23" s="4">
        <x:f> QUARTILE(C2:C46,3)</x:f>
        <x:v>13</x:v>
      </x:c>
    </x:row>
    <x:row r="24">
      <x:c r="A24" s="3">
        <x:f t="shared" si="0"/>
        <x:v>23</x:v>
      </x:c>
      <x:c r="B24" s="2">
        <x:v>9</x:v>
      </x:c>
      <x:c r="C24" s="2">
        <x:v>10</x:v>
      </x:c>
      <x:c r="F24" s="18" t="s">
        <x:v>9</x:v>
      </x:c>
      <x:c r="G24" s="4">
        <x:f> G21 - 1.5*(G23-G21)</x:f>
        <x:v>5.5</x:v>
      </x:c>
    </x:row>
    <x:row r="25">
      <x:c r="A25" s="3">
        <x:f t="shared" si="0"/>
        <x:v>24</x:v>
      </x:c>
      <x:c r="B25" s="2">
        <x:v>13</x:v>
      </x:c>
      <x:c r="C25" s="2">
        <x:v>12</x:v>
      </x:c>
      <x:c r="F25" s="18" t="s">
        <x:v>10</x:v>
      </x:c>
      <x:c r="G25" s="4">
        <x:v>6</x:v>
      </x:c>
      <x:c r="H25" s="23" t="s">
        <x:v>16</x:v>
      </x:c>
    </x:row>
    <x:row r="26">
      <x:c r="A26" s="3">
        <x:f t="shared" si="0"/>
        <x:v>25</x:v>
      </x:c>
      <x:c r="B26" s="2">
        <x:v>19</x:v>
      </x:c>
      <x:c r="C26" s="2">
        <x:v>17</x:v>
      </x:c>
      <x:c r="F26" s="18" t="s">
        <x:v>12</x:v>
      </x:c>
      <x:c r="G26" s="4">
        <x:f> G23 + 1.5*(G23-G21)</x:f>
        <x:v>17.5</x:v>
      </x:c>
      <x:c r="H26" s="23"/>
    </x:row>
    <x:row r="27">
      <x:c r="A27" s="3">
        <x:f t="shared" si="0"/>
        <x:v>26</x:v>
      </x:c>
      <x:c r="B27" s="2">
        <x:v>12</x:v>
      </x:c>
      <x:c r="C27" s="2">
        <x:v>12</x:v>
      </x:c>
      <x:c r="F27" s="18" t="s">
        <x:v>13</x:v>
      </x:c>
      <x:c r="G27" s="4">
        <x:v>17</x:v>
      </x:c>
      <x:c r="H27" s="23" t="s">
        <x:v>17</x:v>
      </x:c>
    </x:row>
    <x:row r="28">
      <x:c r="A28" s="3">
        <x:f t="shared" si="0"/>
        <x:v>27</x:v>
      </x:c>
      <x:c r="B28" s="2">
        <x:v>11</x:v>
      </x:c>
      <x:c r="C28" s="2">
        <x:v>11</x:v>
      </x:c>
    </x:row>
    <x:row r="29">
      <x:c r="A29" s="3">
        <x:f t="shared" si="0"/>
        <x:v>28</x:v>
      </x:c>
      <x:c r="B29" s="2">
        <x:v>10</x:v>
      </x:c>
      <x:c r="C29" s="2">
        <x:v>14</x:v>
      </x:c>
    </x:row>
    <x:row r="30">
      <x:c r="A30" s="3">
        <x:f t="shared" si="0"/>
        <x:v>29</x:v>
      </x:c>
      <x:c r="B30" s="2">
        <x:v>13</x:v>
      </x:c>
      <x:c r="C30" s="2">
        <x:v>12</x:v>
      </x:c>
    </x:row>
    <x:row r="31">
      <x:c r="A31" s="3">
        <x:f t="shared" si="0"/>
        <x:v>30</x:v>
      </x:c>
      <x:c r="B31" s="2">
        <x:v>16</x:v>
      </x:c>
      <x:c r="C31" s="2">
        <x:v>17</x:v>
      </x:c>
    </x:row>
    <x:row r="32">
      <x:c r="A32" s="3">
        <x:f t="shared" si="0"/>
        <x:v>31</x:v>
      </x:c>
      <x:c r="B32" s="2">
        <x:v>13</x:v>
      </x:c>
      <x:c r="C32" s="2">
        <x:v>16</x:v>
      </x:c>
    </x:row>
    <x:row r="33">
      <x:c r="A33" s="3">
        <x:f t="shared" si="0"/>
        <x:v>32</x:v>
      </x:c>
      <x:c r="B33" s="2">
        <x:v>15</x:v>
      </x:c>
      <x:c r="C33" s="2">
        <x:v>17</x:v>
      </x:c>
    </x:row>
    <x:row r="34">
      <x:c r="A34" s="3">
        <x:f t="shared" si="0"/>
        <x:v>33</x:v>
      </x:c>
      <x:c r="B34" s="2">
        <x:v>5</x:v>
      </x:c>
      <x:c r="C34" s="2">
        <x:v>10</x:v>
      </x:c>
    </x:row>
    <x:row r="35">
      <x:c r="A35" s="3">
        <x:f t="shared" si="0"/>
        <x:v>34</x:v>
      </x:c>
      <x:c r="B35" s="2">
        <x:v>4</x:v>
      </x:c>
      <x:c r="C35" s="2">
        <x:v>9</x:v>
      </x:c>
    </x:row>
    <x:row r="36">
      <x:c r="A36" s="3">
        <x:f t="shared" si="0"/>
        <x:v>35</x:v>
      </x:c>
      <x:c r="B36" s="2">
        <x:v>12</x:v>
      </x:c>
      <x:c r="C36" s="2">
        <x:v>11</x:v>
      </x:c>
    </x:row>
    <x:row r="37">
      <x:c r="A37" s="3">
        <x:f t="shared" si="0"/>
        <x:v>36</x:v>
      </x:c>
      <x:c r="B37" s="2">
        <x:v>15</x:v>
      </x:c>
      <x:c r="C37" s="2">
        <x:v>15</x:v>
      </x:c>
    </x:row>
    <x:row r="38">
      <x:c r="A38" s="3">
        <x:f t="shared" si="0"/>
        <x:v>37</x:v>
      </x:c>
      <x:c r="B38" s="2">
        <x:v>13</x:v>
      </x:c>
      <x:c r="C38" s="2">
        <x:v>14</x:v>
      </x:c>
    </x:row>
    <x:row r="39">
      <x:c r="A39" s="3">
        <x:f t="shared" si="0"/>
        <x:v>38</x:v>
      </x:c>
      <x:c r="B39" s="2">
        <x:v>12</x:v>
      </x:c>
      <x:c r="C39" s="2">
        <x:v>13</x:v>
      </x:c>
    </x:row>
    <x:row r="40">
      <x:c r="A40" s="3">
        <x:f t="shared" si="0"/>
        <x:v>39</x:v>
      </x:c>
      <x:c r="B40" s="2">
        <x:v>13</x:v>
      </x:c>
      <x:c r="C40" s="2">
        <x:v>10</x:v>
      </x:c>
    </x:row>
    <x:row r="41">
      <x:c r="A41" s="3">
        <x:f t="shared" si="0"/>
        <x:v>40</x:v>
      </x:c>
      <x:c r="B41" s="2">
        <x:v>6</x:v>
      </x:c>
      <x:c r="C41" s="2">
        <x:v>10</x:v>
      </x:c>
    </x:row>
    <x:row r="42">
      <x:c r="A42" s="3">
        <x:f t="shared" si="0"/>
        <x:v>41</x:v>
      </x:c>
      <x:c r="B42" s="2">
        <x:v>8</x:v>
      </x:c>
      <x:c r="C42" s="2">
        <x:v>9</x:v>
      </x:c>
    </x:row>
    <x:row r="43">
      <x:c r="A43" s="3">
        <x:f t="shared" si="0"/>
        <x:v>42</x:v>
      </x:c>
      <x:c r="B43" s="2">
        <x:v>9</x:v>
      </x:c>
      <x:c r="C43" s="2">
        <x:v>10</x:v>
      </x:c>
    </x:row>
    <x:row r="44">
      <x:c r="A44" s="3">
        <x:f t="shared" si="0"/>
        <x:v>43</x:v>
      </x:c>
      <x:c r="B44" s="2">
        <x:v>11</x:v>
      </x:c>
      <x:c r="C44" s="2">
        <x:v>14</x:v>
      </x:c>
    </x:row>
    <x:row r="45">
      <x:c r="A45" s="3">
        <x:f t="shared" si="0"/>
        <x:v>44</x:v>
      </x:c>
      <x:c r="B45" s="2">
        <x:v>8</x:v>
      </x:c>
      <x:c r="C45" s="2">
        <x:v>12</x:v>
      </x:c>
    </x:row>
    <x:row r="46">
      <x:c r="A46" s="3">
        <x:f t="shared" si="0"/>
        <x:v>45</x:v>
      </x:c>
      <x:c r="B46" s="2">
        <x:v>15</x:v>
      </x:c>
      <x:c r="C46" s="2">
        <x:v>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0.90625" defaultRowHeight="14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10.90625" defaultRowHeight="14.5"/>
  <x:cols>
    <x:col min="1" max="1" width="27.6328125" customWidth="1"/>
    <x:col min="2" max="2" width="22.6328125" customWidth="1"/>
    <x:col min="6" max="6" width="27.6328125" customWidth="1"/>
    <x:col min="7" max="7" width="22.6328125" customWidth="1"/>
  </x:cols>
  <x:sheetData>
    <x:row r="1">
      <x:c r="A1" s="26" t="s">
        <x:v>1</x:v>
      </x:c>
      <x:c r="B1" s="28" t="s">
        <x:v>18</x:v>
      </x:c>
      <x:c r="D1" s="25"/>
      <x:c r="F1" s="34" t="s">
        <x:v>19</x:v>
      </x:c>
    </x:row>
    <x:row r="2">
      <x:c r="A2" s="27" t="s">
        <x:v>20</x:v>
      </x:c>
      <x:c r="B2" s="6">
        <x:v>5</x:v>
      </x:c>
      <x:c r="D2" s="25"/>
      <x:c r="F2" s="33"/>
    </x:row>
    <x:row r="3">
      <x:c r="A3" s="27" t="s">
        <x:v>21</x:v>
      </x:c>
      <x:c r="B3" s="6">
        <x:v>10</x:v>
      </x:c>
      <x:c r="D3" s="25"/>
      <x:c r="F3" s="36" t="s">
        <x:v>1</x:v>
      </x:c>
      <x:c r="G3" s="35" t="s">
        <x:v>18</x:v>
      </x:c>
      <x:c r="H3" s="5" t="s">
        <x:v>22</x:v>
      </x:c>
      <x:c r="I3" s="5" t="s">
        <x:v>23</x:v>
      </x:c>
      <x:c r="J3" s="5" t="s">
        <x:v>24</x:v>
      </x:c>
      <x:c r="K3" s="5" t="s">
        <x:v>25</x:v>
      </x:c>
    </x:row>
    <x:row r="4">
      <x:c r="A4" s="27" t="s">
        <x:v>26</x:v>
      </x:c>
      <x:c r="B4" s="6">
        <x:v>6</x:v>
      </x:c>
      <x:c r="D4" s="25"/>
      <x:c r="F4" s="37" t="s">
        <x:v>20</x:v>
      </x:c>
      <x:c r="G4" s="6">
        <x:v>5</x:v>
      </x:c>
      <x:c r="H4" s="12">
        <x:v>2</x:v>
      </x:c>
      <x:c r="I4" s="6">
        <x:f>G4/$G$10</x:f>
        <x:v>0.1111111111111111</x:v>
      </x:c>
      <x:c r="J4" s="6">
        <x:f> G4</x:f>
        <x:v>5</x:v>
      </x:c>
      <x:c r="K4" s="6">
        <x:f> J4/$G$10</x:f>
        <x:v>0.1111111111111111</x:v>
      </x:c>
    </x:row>
    <x:row r="5">
      <x:c r="A5" s="27" t="s">
        <x:v>27</x:v>
      </x:c>
      <x:c r="B5" s="6">
        <x:v>12</x:v>
      </x:c>
      <x:c r="D5" s="25"/>
      <x:c r="F5" s="37" t="s">
        <x:v>21</x:v>
      </x:c>
      <x:c r="G5" s="6">
        <x:v>10</x:v>
      </x:c>
      <x:c r="H5" s="6">
        <x:v>2</x:v>
      </x:c>
      <x:c r="I5" s="6">
        <x:f t="shared" ref="I5:I9" si="0">G5/$G$10</x:f>
        <x:v>0.22222222222222221</x:v>
      </x:c>
      <x:c r="J5" s="6">
        <x:f> G5+J4</x:f>
        <x:v>15</x:v>
      </x:c>
      <x:c r="K5" s="6">
        <x:f t="shared" ref="K5:K9" si="1"> J5/$G$10</x:f>
        <x:v>0.33333333333333331</x:v>
      </x:c>
    </x:row>
    <x:row r="6">
      <x:c r="A6" s="27" t="s">
        <x:v>28</x:v>
      </x:c>
      <x:c r="B6" s="6">
        <x:v>9</x:v>
      </x:c>
      <x:c r="D6" s="25"/>
      <x:c r="F6" s="37" t="s">
        <x:v>26</x:v>
      </x:c>
      <x:c r="G6" s="6">
        <x:v>6</x:v>
      </x:c>
      <x:c r="H6" s="6">
        <x:v>3</x:v>
      </x:c>
      <x:c r="I6" s="6">
        <x:f t="shared" si="0"/>
        <x:v>0.13333333333333333</x:v>
      </x:c>
      <x:c r="J6" s="6">
        <x:f t="shared" ref="J6:J9" si="2"> G6+J5</x:f>
        <x:v>21</x:v>
      </x:c>
      <x:c r="K6" s="6">
        <x:f t="shared" si="1"/>
        <x:v>0.46666666666666667</x:v>
      </x:c>
    </x:row>
    <x:row r="7">
      <x:c r="A7" s="27" t="s">
        <x:v>29</x:v>
      </x:c>
      <x:c r="B7" s="6">
        <x:v>3</x:v>
      </x:c>
      <x:c r="D7" s="25"/>
      <x:c r="F7" s="37" t="s">
        <x:v>27</x:v>
      </x:c>
      <x:c r="G7" s="6">
        <x:v>12</x:v>
      </x:c>
      <x:c r="H7" s="6">
        <x:v>4</x:v>
      </x:c>
      <x:c r="I7" s="6">
        <x:f t="shared" si="0"/>
        <x:v>0.26666666666666666</x:v>
      </x:c>
      <x:c r="J7" s="6">
        <x:f t="shared" si="2"/>
        <x:v>33</x:v>
      </x:c>
      <x:c r="K7" s="6">
        <x:f t="shared" si="1"/>
        <x:v>0.73333333333333328</x:v>
      </x:c>
    </x:row>
    <x:row r="8">
      <x:c r="F8" s="37" t="s">
        <x:v>28</x:v>
      </x:c>
      <x:c r="G8" s="6">
        <x:v>9</x:v>
      </x:c>
      <x:c r="H8" s="6">
        <x:v>4</x:v>
      </x:c>
      <x:c r="I8" s="6">
        <x:f t="shared" si="0"/>
        <x:v>0.2</x:v>
      </x:c>
      <x:c r="J8" s="6">
        <x:f t="shared" si="2"/>
        <x:v>42</x:v>
      </x:c>
      <x:c r="K8" s="6">
        <x:f t="shared" si="1"/>
        <x:v>0.93333333333333335</x:v>
      </x:c>
    </x:row>
    <x:row r="9">
      <x:c r="F9" s="37" t="s">
        <x:v>29</x:v>
      </x:c>
      <x:c r="G9" s="6">
        <x:v>3</x:v>
      </x:c>
      <x:c r="H9" s="12">
        <x:v>2</x:v>
      </x:c>
      <x:c r="I9" s="6">
        <x:f t="shared" si="0"/>
        <x:v>6.6666666666666666E-2</x:v>
      </x:c>
      <x:c r="J9" s="6">
        <x:f t="shared" si="2"/>
        <x:v>45</x:v>
      </x:c>
      <x:c r="K9" s="6">
        <x:f t="shared" si="1"/>
        <x:v>1</x:v>
      </x:c>
    </x:row>
    <x:row r="10">
      <x:c r="D10" s="29"/>
      <x:c r="F10" s="7" t="s">
        <x:v>30</x:v>
      </x:c>
      <x:c r="G10" s="8">
        <x:f> SUM(G4:G9)</x:f>
        <x:v>45</x:v>
      </x:c>
      <x:c r="H10" s="9"/>
      <x:c r="I10" s="9">
        <x:f> SUM(I4:I9)</x:f>
        <x:v>1</x:v>
      </x:c>
      <x:c r="J10" s="9"/>
      <x:c r="K10" s="9"/>
    </x:row>
    <x:row r="11">
      <x:c r="A11" s="31" t="s">
        <x:v>2</x:v>
      </x:c>
      <x:c r="B11" s="30" t="s">
        <x:v>18</x:v>
      </x:c>
      <x:c r="D11" s="29"/>
    </x:row>
    <x:row r="12">
      <x:c r="A12" s="32" t="s">
        <x:v>20</x:v>
      </x:c>
      <x:c r="B12" s="6">
        <x:v>3</x:v>
      </x:c>
      <x:c r="D12" s="29"/>
    </x:row>
    <x:row r="13">
      <x:c r="A13" s="32" t="s">
        <x:v>21</x:v>
      </x:c>
      <x:c r="B13" s="6">
        <x:v>8</x:v>
      </x:c>
      <x:c r="D13" s="29"/>
      <x:c r="F13" s="21" t="s">
        <x:v>31</x:v>
      </x:c>
    </x:row>
    <x:row r="14">
      <x:c r="A14" s="32" t="s">
        <x:v>26</x:v>
      </x:c>
      <x:c r="B14" s="6">
        <x:v>9</x:v>
      </x:c>
      <x:c r="D14" s="29"/>
    </x:row>
    <x:row r="15">
      <x:c r="A15" s="32" t="s">
        <x:v>27</x:v>
      </x:c>
      <x:c r="B15" s="6">
        <x:v>13</x:v>
      </x:c>
      <x:c r="D15" s="29"/>
      <x:c r="E15" s="33"/>
      <x:c r="F15" s="10" t="s">
        <x:v>32</x:v>
      </x:c>
      <x:c r="G15" s="11">
        <x:v>6.25</x:v>
      </x:c>
    </x:row>
    <x:row r="16">
      <x:c r="A16" s="32" t="s">
        <x:v>28</x:v>
      </x:c>
      <x:c r="B16" s="6">
        <x:v>10</x:v>
      </x:c>
      <x:c r="D16" s="29"/>
      <x:c r="E16" s="33"/>
      <x:c r="F16" s="10" t="s">
        <x:v>33</x:v>
      </x:c>
      <x:c r="G16" s="11">
        <x:v>10.5</x:v>
      </x:c>
    </x:row>
    <x:row r="17">
      <x:c r="A17" s="32" t="s">
        <x:v>29</x:v>
      </x:c>
      <x:c r="B17" s="6">
        <x:v>2</x:v>
      </x:c>
      <x:c r="D17" s="29"/>
      <x:c r="E17" s="33"/>
      <x:c r="F17" s="10" t="s">
        <x:v>34</x:v>
      </x:c>
      <x:c r="G17" s="11">
        <x:v>14.333333333333334</x:v>
      </x:c>
    </x:row>
    <x:row r="18">
      <x:c r="D18" s="29"/>
      <x:c r="E18" s="33"/>
      <x:c r="F18" s="10" t="s">
        <x:v>35</x:v>
      </x:c>
      <x:c r="G18" s="11">
        <x:v>-5.875</x:v>
      </x:c>
    </x:row>
    <x:row r="19">
      <x:c r="E19" s="33"/>
      <x:c r="F19" s="10" t="s">
        <x:v>36</x:v>
      </x:c>
      <x:c r="G19" s="11">
        <x:v>26.458333333333336</x:v>
      </x:c>
    </x:row>
    <x:row r="20">
      <x:c r="E20" s="33"/>
      <x:c r="F20" s="10" t="s">
        <x:v>37</x:v>
      </x:c>
      <x:c r="G20" s="11">
        <x:v>3</x:v>
      </x:c>
      <x:c r="H20" t="s">
        <x:v>38</x:v>
      </x:c>
    </x:row>
    <x:row r="21">
      <x:c r="E21" s="33"/>
      <x:c r="F21" s="10" t="s">
        <x:v>39</x:v>
      </x:c>
      <x:c r="G21" s="11">
        <x:v>20</x:v>
      </x:c>
      <x:c r="H21" t="s">
        <x:v>40</x:v>
      </x:c>
    </x:row>
    <x:row r="24">
      <x:c r="F24" s="1" t="s">
        <x:v>41</x:v>
      </x:c>
    </x:row>
    <x:row r="26">
      <x:c r="F26" s="36" t="s">
        <x:v>2</x:v>
      </x:c>
      <x:c r="G26" s="35" t="s">
        <x:v>18</x:v>
      </x:c>
      <x:c r="H26" s="5" t="s">
        <x:v>22</x:v>
      </x:c>
      <x:c r="I26" s="5" t="s">
        <x:v>23</x:v>
      </x:c>
      <x:c r="J26" s="5" t="s">
        <x:v>24</x:v>
      </x:c>
      <x:c r="K26" s="5" t="s">
        <x:v>25</x:v>
      </x:c>
    </x:row>
    <x:row r="27">
      <x:c r="F27" s="37" t="s">
        <x:v>20</x:v>
      </x:c>
      <x:c r="G27" s="6">
        <x:v>3</x:v>
      </x:c>
      <x:c r="H27" s="12">
        <x:v>2</x:v>
      </x:c>
      <x:c r="I27" s="6">
        <x:f> G27/$G$33</x:f>
        <x:v>6.6666666666666666E-2</x:v>
      </x:c>
      <x:c r="J27" s="6">
        <x:f>G27</x:f>
        <x:v>3</x:v>
      </x:c>
      <x:c r="K27" s="6">
        <x:f> J27/$G$33</x:f>
        <x:v>6.6666666666666666E-2</x:v>
      </x:c>
    </x:row>
    <x:row r="28">
      <x:c r="F28" s="37" t="s">
        <x:v>21</x:v>
      </x:c>
      <x:c r="G28" s="6">
        <x:v>8</x:v>
      </x:c>
      <x:c r="H28" s="6">
        <x:v>2</x:v>
      </x:c>
      <x:c r="I28" s="6">
        <x:f t="shared" ref="I28:I32" si="3"> G28/$G$33</x:f>
        <x:v>0.17777777777777778</x:v>
      </x:c>
      <x:c r="J28" s="6">
        <x:f>G28+J27</x:f>
        <x:v>11</x:v>
      </x:c>
      <x:c r="K28" s="6">
        <x:f t="shared" ref="K28:K32" si="4"> J28/$G$33</x:f>
        <x:v>0.24444444444444444</x:v>
      </x:c>
    </x:row>
    <x:row r="29">
      <x:c r="F29" s="37" t="s">
        <x:v>26</x:v>
      </x:c>
      <x:c r="G29" s="6">
        <x:v>9</x:v>
      </x:c>
      <x:c r="H29" s="6">
        <x:v>3</x:v>
      </x:c>
      <x:c r="I29" s="6">
        <x:f t="shared" si="3"/>
        <x:v>0.2</x:v>
      </x:c>
      <x:c r="J29" s="6">
        <x:f t="shared" ref="J29:J32" si="5">G29+J28</x:f>
        <x:v>20</x:v>
      </x:c>
      <x:c r="K29" s="6">
        <x:f t="shared" si="4"/>
        <x:v>0.44444444444444442</x:v>
      </x:c>
    </x:row>
    <x:row r="30">
      <x:c r="F30" s="37" t="s">
        <x:v>27</x:v>
      </x:c>
      <x:c r="G30" s="6">
        <x:v>13</x:v>
      </x:c>
      <x:c r="H30" s="6">
        <x:v>4</x:v>
      </x:c>
      <x:c r="I30" s="6">
        <x:f t="shared" si="3"/>
        <x:v>0.28888888888888886</x:v>
      </x:c>
      <x:c r="J30" s="6">
        <x:f t="shared" si="5"/>
        <x:v>33</x:v>
      </x:c>
      <x:c r="K30" s="6">
        <x:f t="shared" si="4"/>
        <x:v>0.73333333333333328</x:v>
      </x:c>
    </x:row>
    <x:row r="31">
      <x:c r="F31" s="37" t="s">
        <x:v>28</x:v>
      </x:c>
      <x:c r="G31" s="6">
        <x:v>10</x:v>
      </x:c>
      <x:c r="H31" s="6">
        <x:v>4</x:v>
      </x:c>
      <x:c r="I31" s="6">
        <x:f t="shared" si="3"/>
        <x:v>0.22222222222222221</x:v>
      </x:c>
      <x:c r="J31" s="6">
        <x:f t="shared" si="5"/>
        <x:v>43</x:v>
      </x:c>
      <x:c r="K31" s="6">
        <x:f t="shared" si="4"/>
        <x:v>0.9555555555555556</x:v>
      </x:c>
    </x:row>
    <x:row r="32">
      <x:c r="F32" s="37" t="s">
        <x:v>29</x:v>
      </x:c>
      <x:c r="G32" s="6">
        <x:v>2</x:v>
      </x:c>
      <x:c r="H32" s="12">
        <x:v>2</x:v>
      </x:c>
      <x:c r="I32" s="6">
        <x:f t="shared" si="3"/>
        <x:v>4.4444444444444446E-2</x:v>
      </x:c>
      <x:c r="J32" s="6">
        <x:f t="shared" si="5"/>
        <x:v>45</x:v>
      </x:c>
      <x:c r="K32" s="6">
        <x:f t="shared" si="4"/>
        <x:v>1</x:v>
      </x:c>
    </x:row>
    <x:row r="33">
      <x:c r="F33" s="7" t="s">
        <x:v>30</x:v>
      </x:c>
      <x:c r="G33" s="8">
        <x:f> SUM(G27:G32)</x:f>
        <x:v>45</x:v>
      </x:c>
      <x:c r="H33" s="9"/>
      <x:c r="I33" s="9">
        <x:f> SUM(I27:I32)</x:f>
        <x:v>1</x:v>
      </x:c>
      <x:c r="J33" s="9"/>
      <x:c r="K33" s="9"/>
    </x:row>
    <x:row r="36">
      <x:c r="F36" s="21" t="s">
        <x:v>42</x:v>
      </x:c>
    </x:row>
    <x:row r="38">
      <x:c r="E38" s="33"/>
      <x:c r="F38" s="10" t="s">
        <x:v>32</x:v>
      </x:c>
      <x:c r="G38" s="11">
        <x:v>7.083333333333333</x:v>
      </x:c>
    </x:row>
    <x:row r="39">
      <x:c r="E39" s="33"/>
      <x:c r="F39" s="10" t="s">
        <x:v>33</x:v>
      </x:c>
      <x:c r="G39" s="11">
        <x:v>10.76923076923077</x:v>
      </x:c>
    </x:row>
    <x:row r="40">
      <x:c r="E40" s="33"/>
      <x:c r="F40" s="10" t="s">
        <x:v>34</x:v>
      </x:c>
      <x:c r="G40" s="11">
        <x:v>14.3</x:v>
      </x:c>
    </x:row>
    <x:row r="41">
      <x:c r="E41" s="33"/>
      <x:c r="F41" s="10" t="s">
        <x:v>35</x:v>
      </x:c>
      <x:c r="G41" s="11">
        <x:v>-3.741666666666668</x:v>
      </x:c>
    </x:row>
    <x:row r="42">
      <x:c r="E42" s="33"/>
      <x:c r="F42" s="10" t="s">
        <x:v>36</x:v>
      </x:c>
      <x:c r="G42" s="11">
        <x:v>25.125</x:v>
      </x:c>
    </x:row>
    <x:row r="43">
      <x:c r="E43" s="33"/>
      <x:c r="F43" s="10" t="s">
        <x:v>37</x:v>
      </x:c>
      <x:c r="G43" s="11">
        <x:v>3</x:v>
      </x:c>
      <x:c r="H43" s="33" t="s">
        <x:v>38</x:v>
      </x:c>
    </x:row>
    <x:row r="44">
      <x:c r="E44" s="33"/>
      <x:c r="F44" s="10" t="s">
        <x:v>39</x:v>
      </x:c>
      <x:c r="G44" s="11">
        <x:v>20</x:v>
      </x:c>
      <x:c r="H44" s="33" t="s">
        <x:v>40</x:v>
      </x:c>
    </x:row>
    <x:row r="45">
      <x:c r="E45" s="3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10.90625" defaultRowHeight="14.5"/>
  <x:cols>
    <x:col min="1" max="1" width="25.6328125" customWidth="1"/>
  </x:cols>
  <x:sheetData>
    <x:row r="1">
      <x:c r="A1" s="10" t="s">
        <x:v>43</x:v>
      </x:c>
      <x:c r="B1" s="11">
        <x:v>6.25</x:v>
      </x:c>
      <x:c r="D1" s="13" t="s">
        <x:v>44</x:v>
      </x:c>
      <x:c r="E1" s="14">
        <x:f>B6</x:f>
        <x:v>3</x:v>
      </x:c>
    </x:row>
    <x:row r="2">
      <x:c r="A2" s="10" t="s">
        <x:v>45</x:v>
      </x:c>
      <x:c r="B2" s="11">
        <x:v>10.5</x:v>
      </x:c>
      <x:c r="D2" s="13" t="s">
        <x:v>46</x:v>
      </x:c>
      <x:c r="E2" s="14">
        <x:f> B1-B6</x:f>
        <x:v>3.25</x:v>
      </x:c>
    </x:row>
    <x:row r="3">
      <x:c r="A3" s="10" t="s">
        <x:v>47</x:v>
      </x:c>
      <x:c r="B3" s="11">
        <x:v>14.333333333333334</x:v>
      </x:c>
      <x:c r="D3" s="13" t="s">
        <x:v>48</x:v>
      </x:c>
      <x:c r="E3" s="14">
        <x:f> B2-B1</x:f>
        <x:v>4.25</x:v>
      </x:c>
    </x:row>
    <x:row r="4">
      <x:c r="A4" s="10" t="s">
        <x:v>49</x:v>
      </x:c>
      <x:c r="B4" s="11">
        <x:v>-5.875</x:v>
      </x:c>
      <x:c r="D4" s="13" t="s">
        <x:v>50</x:v>
      </x:c>
      <x:c r="E4" s="14">
        <x:f> B3-B2</x:f>
        <x:v>3.8333333333333339</x:v>
      </x:c>
    </x:row>
    <x:row r="5">
      <x:c r="A5" s="10" t="s">
        <x:v>51</x:v>
      </x:c>
      <x:c r="B5" s="11">
        <x:v>26.458333333333336</x:v>
      </x:c>
      <x:c r="D5" s="13" t="s">
        <x:v>52</x:v>
      </x:c>
      <x:c r="E5" s="14">
        <x:f> B7 - B3</x:f>
        <x:v>5.6666666666666661</x:v>
      </x:c>
    </x:row>
    <x:row r="6">
      <x:c r="A6" s="10" t="s">
        <x:v>53</x:v>
      </x:c>
      <x:c r="B6" s="11">
        <x:v>3</x:v>
      </x:c>
    </x:row>
    <x:row r="7">
      <x:c r="A7" s="10" t="s">
        <x:v>54</x:v>
      </x:c>
      <x:c r="B7" s="11">
        <x:v>20</x:v>
      </x:c>
    </x:row>
    <x:row r="20">
      <x:c r="A20" s="10" t="s">
        <x:v>43</x:v>
      </x:c>
      <x:c r="B20" s="11">
        <x:v>7.083333333333333</x:v>
      </x:c>
      <x:c r="D20" s="13" t="s">
        <x:v>44</x:v>
      </x:c>
      <x:c r="E20" s="15">
        <x:f> B25</x:f>
        <x:v>3</x:v>
      </x:c>
    </x:row>
    <x:row r="21">
      <x:c r="A21" s="10" t="s">
        <x:v>45</x:v>
      </x:c>
      <x:c r="B21" s="11">
        <x:v>10.76923076923077</x:v>
      </x:c>
      <x:c r="D21" s="13" t="s">
        <x:v>46</x:v>
      </x:c>
      <x:c r="E21" s="15">
        <x:f> B20 - B25</x:f>
        <x:v>4.083333333333333</x:v>
      </x:c>
    </x:row>
    <x:row r="22">
      <x:c r="A22" s="10" t="s">
        <x:v>47</x:v>
      </x:c>
      <x:c r="B22" s="11">
        <x:v>14.3</x:v>
      </x:c>
      <x:c r="D22" s="13" t="s">
        <x:v>48</x:v>
      </x:c>
      <x:c r="E22" s="15">
        <x:f> B21 - B20</x:f>
        <x:v>3.685897435897437</x:v>
      </x:c>
    </x:row>
    <x:row r="23">
      <x:c r="A23" s="10" t="s">
        <x:v>49</x:v>
      </x:c>
      <x:c r="B23" s="11">
        <x:v>-3.741666666666668</x:v>
      </x:c>
      <x:c r="D23" s="13" t="s">
        <x:v>50</x:v>
      </x:c>
      <x:c r="E23" s="15">
        <x:f> B22 - B21</x:f>
        <x:v>3.5307692307692307</x:v>
      </x:c>
    </x:row>
    <x:row r="24">
      <x:c r="A24" s="10" t="s">
        <x:v>51</x:v>
      </x:c>
      <x:c r="B24" s="11">
        <x:v>25.125</x:v>
      </x:c>
      <x:c r="D24" s="13" t="s">
        <x:v>52</x:v>
      </x:c>
      <x:c r="E24" s="15">
        <x:f> B26 - B22</x:f>
        <x:v>5.6999999999999993</x:v>
      </x:c>
    </x:row>
    <x:row r="25">
      <x:c r="A25" s="10" t="s">
        <x:v>53</x:v>
      </x:c>
      <x:c r="B25" s="11">
        <x:v>3</x:v>
      </x:c>
    </x:row>
    <x:row r="26">
      <x:c r="A26" s="10" t="s">
        <x:v>54</x:v>
      </x:c>
      <x:c r="B26" s="11">
        <x:v>20</x:v>
      </x:c>
    </x:row>
  </x:sheetData>
  <x:pageMargins left="0.7" right="0.7" top="0.75" bottom="0.75" header="0.3" footer="0.3"/>
  <x:drawing xmlns:r="http://schemas.openxmlformats.org/officeDocument/2006/relationships" r:id="Rbe03ae9de1804e76"/>
</x:worksheet>
</file>