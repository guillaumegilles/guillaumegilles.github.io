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11c951e8f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 Monday vs Saturday" sheetId="1" r:id="R62f33dd8ee344803"/>
    <x:sheet xmlns:r="http://schemas.openxmlformats.org/officeDocument/2006/relationships" name="Shoe size Vs IQ" sheetId="2" r:id="Ra8c44f172cd04528"/>
    <x:sheet xmlns:r="http://schemas.openxmlformats.org/officeDocument/2006/relationships" name="Age Vs Stress" sheetId="3" r:id="R26455a1345b1496e"/>
    <x:sheet xmlns:r="http://schemas.openxmlformats.org/officeDocument/2006/relationships" name="Power vs Duration" sheetId="4" r:id="R6f163b83e774420d"/>
  </x:sheets>
</x:workbook>
</file>

<file path=xl/sharedStrings.xml><?xml version="1.0" encoding="utf-8"?>
<x:sst xmlns:x="http://schemas.openxmlformats.org/spreadsheetml/2006/main">
  <x:si>
    <x:t xml:space="preserve">Week</x:t>
  </x:si>
  <x:si>
    <x:t xml:space="preserve">Monday Recipe (xi)</x:t>
  </x:si>
  <x:si>
    <x:t xml:space="preserve">Saturday Recipe (yi)</x:t>
  </x:si>
  <x:si>
    <x:t xml:space="preserve">xi * yi</x:t>
  </x:si>
  <x:si>
    <x:t xml:space="preserve">Mean</x:t>
  </x:si>
  <x:si>
    <x:t xml:space="preserve">Standard deviation</x:t>
  </x:si>
  <x:si>
    <x:t xml:space="preserve">Covariance (formule)</x:t>
  </x:si>
  <x:si>
    <x:t xml:space="preserve">Covariance (Excel)</x:t>
  </x:si>
  <x:si>
    <x:t xml:space="preserve">Correlation coefficient (Formule)</x:t>
  </x:si>
  <x:si>
    <x:t xml:space="preserve">Correlation coefficient (Excel)</x:t>
  </x:si>
  <x:si>
    <x:t xml:space="preserve">Calculation of the slope (a)</x:t>
  </x:si>
  <x:si>
    <x:t xml:space="preserve">Calculation of the ordinate at the origin (b)</x:t>
  </x:si>
  <x:si>
    <x:t xml:space="preserve">Regression line : y = 0.70166 x + 625.1208</x:t>
  </x:si>
  <x:si>
    <x:t xml:space="preserve">Coefficient of determination (r^2)</x:t>
  </x:si>
  <x:si>
    <x:t xml:space="preserve">Students</x:t>
  </x:si>
  <x:si>
    <x:t xml:space="preserve">Shoe size (xi) </x:t>
  </x:si>
  <x:si>
    <x:t xml:space="preserve">IQ (yi)</x:t>
  </x:si>
  <x:si>
    <x:t xml:space="preserve">Regression line : y = 10.67069 x + 3.8365</x:t>
  </x:si>
  <x:si>
    <x:t xml:space="preserve">x (Age)   /  y (Stess)</x:t>
  </x:si>
  <x:si>
    <x:t xml:space="preserve">Total</x:t>
  </x:si>
  <x:si>
    <x:t xml:space="preserve">[22;26[</x:t>
  </x:si>
  <x:si>
    <x:t xml:space="preserve">[26;30[</x:t>
  </x:si>
  <x:si>
    <x:t xml:space="preserve">[30;38[</x:t>
  </x:si>
  <x:si>
    <x:t xml:space="preserve">[38;46[</x:t>
  </x:si>
  <x:si>
    <x:t xml:space="preserve">[46;56[</x:t>
  </x:si>
  <x:si>
    <x:t xml:space="preserve">[56;62[</x:t>
  </x:si>
  <x:si>
    <x:t xml:space="preserve">Table 1 :</x:t>
  </x:si>
  <x:si>
    <x:t xml:space="preserve">Table 2 :</x:t>
  </x:si>
  <x:si>
    <x:t xml:space="preserve">x (Age)</x:t>
  </x:si>
  <x:si>
    <x:t xml:space="preserve">ni (Absolute frequency)</x:t>
  </x:si>
  <x:si>
    <x:t xml:space="preserve">ai (Width)</x:t>
  </x:si>
  <x:si>
    <x:t xml:space="preserve">ci (Center)</x:t>
  </x:si>
  <x:si>
    <x:t xml:space="preserve">ci^2</x:t>
  </x:si>
  <x:si>
    <x:t xml:space="preserve">y (Stress)</x:t>
  </x:si>
  <x:si>
    <x:t xml:space="preserve">yi^2</x:t>
  </x:si>
  <x:si>
    <x:r>
      <x:t xml:space="preserve">Mean (</x:t>
    </x:r>
    <x:r>
      <x:rPr>
        <x:b/>
        <x:sz val="11"/>
        <x:color theme="1"/>
        <x:rFont val="Calibri"/>
        <x:family val="2"/>
      </x:rPr>
      <x:t xml:space="preserve">x ̅)</x:t>
    </x:r>
  </x:si>
  <x:si>
    <x:t xml:space="preserve">Mean (y ̅)</x:t>
  </x:si>
  <x:si>
    <x:t xml:space="preserve">Standard-deviation (s_x)</x:t>
  </x:si>
  <x:si>
    <x:t xml:space="preserve">Standard deviation (s_y)</x:t>
  </x:si>
  <x:si>
    <x:t xml:space="preserve">Table 3 :</x:t>
  </x:si>
  <x:si>
    <x:t xml:space="preserve">xi (Age)</x:t>
  </x:si>
  <x:si>
    <x:t xml:space="preserve">yi (Stress)</x:t>
  </x:si>
  <x:si>
    <x:t xml:space="preserve">n_i,j (cross-numbers)</x:t>
  </x:si>
  <x:si>
    <x:t xml:space="preserve">Covariance</x:t>
  </x:si>
  <x:si>
    <x:t xml:space="preserve">Correlation coefficient</x:t>
  </x:si>
  <x:si>
    <x:t xml:space="preserve">x (Power)   /  y (Duration)</x:t>
  </x:si>
  <x:si>
    <x:t xml:space="preserve">x (Power)  </x:t>
  </x:si>
  <x:si>
    <x:t xml:space="preserve">ni (absolute frequency)</x:t>
  </x:si>
  <x:si>
    <x:t xml:space="preserve">x^2</x:t>
  </x:si>
  <x:si>
    <x:t xml:space="preserve">y (Duration)</x:t>
  </x:si>
  <x:si>
    <x:t xml:space="preserve">y^2</x:t>
  </x:si>
  <x:si>
    <x:t xml:space="preserve">Standard deviation (s_x)</x:t>
  </x:si>
  <x:si>
    <x:t xml:space="preserve">Standard-deviation (s_y)</x:t>
  </x:si>
  <x:si>
    <x:t xml:space="preserve">xi (Power)</x:t>
  </x:si>
  <x:si>
    <x:t xml:space="preserve">yj (Duration)</x:t>
  </x:si>
  <x:si>
    <x:t xml:space="preserve">n_i,j (cross numbers)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</x:si>
</x:sst>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0070C0"/>
      <x:name val="Calibri"/>
    </x:font>
    <x:font>
      <x:b/>
      <x:sz val="11"/>
      <x:color theme="1"/>
      <x:name val="Cambria"/>
    </x:font>
    <x:font>
      <x:sz val="12"/>
      <x:color theme="1"/>
      <x:name val="Cambria"/>
    </x:font>
    <x:font>
      <x:b/>
      <x:sz val="11"/>
      <x:color theme="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theme="7" tint="0.39998"/>
      </x:patternFill>
    </x:fill>
    <x:fill>
      <x:patternFill patternType="solid">
        <x:fgColor rgb="FFFFFFCC"/>
      </x:patternFill>
    </x:fill>
    <x:fill>
      <x:patternFill patternType="solid">
        <x:fgColor rgb="FFFFC000"/>
      </x:patternFill>
    </x:fill>
    <x:fill>
      <x:patternFill patternType="solid">
        <x:fgColor theme="5" tint="0.79998"/>
      </x:patternFill>
    </x:fill>
    <x:fill>
      <x:patternFill patternType="solid">
        <x:fgColor rgb="FFFFFF00"/>
      </x:patternFill>
    </x:fill>
    <x:fill>
      <x:patternFill patternType="solid">
        <x:fgColor theme="4" tint="0.79998"/>
      </x:patternFill>
    </x:fill>
    <x:fill>
      <x:patternFill patternType="solid">
        <x:fgColor rgb="FF00B0F0"/>
      </x:patternFill>
    </x:fill>
    <x:fill>
      <x:patternFill patternType="solid">
        <x:fgColor theme="2" tint="-0.09998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0" fillId="2" borderId="0" xfId="0" applyFill="1" applyAlignment="1">
      <x:alignment horizontal="center"/>
    </x:xf>
    <x:xf numFmtId="0" fontId="0" fillId="2" borderId="0" xfId="0" applyFill="1"/>
    <x:xf numFmtId="0" fontId="3" fillId="0" borderId="0" xfId="0" applyFont="1" applyAlignment="1">
      <x:alignment horizontal="center" vertical="center"/>
    </x:xf>
    <x:xf numFmtId="0" fontId="4" fillId="3" borderId="0" xfId="0" applyFont="1" applyFill="1" applyAlignment="1">
      <x:alignment horizontal="center" vertical="center" wrapText="1"/>
    </x:xf>
    <x:xf numFmtId="0" fontId="0" fillId="4" borderId="0" xfId="0" applyFill="1"/>
    <x:xf numFmtId="0" fontId="1" fillId="0" borderId="1" xfId="0" applyFont="1" applyBorder="1" applyAlignment="1">
      <x:alignment vertical="center" wrapText="1"/>
    </x:xf>
    <x:xf numFmtId="0" fontId="1" fillId="5" borderId="1" xfId="0" applyFont="1" applyFill="1" applyBorder="1" applyAlignment="1">
      <x:alignment vertical="center" wrapText="1"/>
    </x:xf>
    <x:xf numFmtId="0" fontId="1" fillId="6" borderId="0" xfId="0" applyFont="1" applyFill="1" applyAlignment="1">
      <x:alignment horizontal="center" vertical="center"/>
    </x:xf>
    <x:xf numFmtId="0" fontId="1" fillId="7" borderId="1" xfId="0" applyFont="1" applyFill="1" applyBorder="1"/>
    <x:xf numFmtId="0" fontId="0" fillId="0" borderId="1" xfId="0" applyBorder="1"/>
    <x:xf numFmtId="0" fontId="0" fillId="6" borderId="2" xfId="0" applyFill="1" applyBorder="1"/>
    <x:xf numFmtId="0" fontId="1" fillId="6" borderId="0" xfId="0" applyFont="1" applyFill="1"/>
    <x:xf numFmtId="0" fontId="0" fillId="6" borderId="3" xfId="0" applyFill="1" applyBorder="1"/>
    <x:xf numFmtId="0" fontId="0" fillId="8" borderId="0" xfId="0" applyFill="1"/>
    <x:xf numFmtId="0" fontId="1" fillId="0" borderId="0" xfId="0" applyFont="1"/>
    <x:xf numFmtId="0" fontId="1" fillId="7" borderId="1" xfId="0" applyFont="1" applyFill="1" applyBorder="1" applyAlignment="1">
      <x:alignment vertical="center" wrapText="1"/>
    </x:xf>
    <x:xf numFmtId="0" fontId="1" fillId="7" borderId="1" xfId="0" applyFont="1" applyFill="1" applyBorder="1" applyAlignment="1">
      <x:alignment vertical="center"/>
    </x:xf>
    <x:xf numFmtId="0" fontId="1" fillId="7" borderId="1" xfId="0" applyFont="1" applyFill="1" applyBorder="1" applyAlignment="1">
      <x:alignment horizontal="center" vertical="center"/>
    </x:xf>
    <x:xf numFmtId="0" fontId="1" fillId="5" borderId="1" xfId="0" applyFont="1" applyFill="1" applyBorder="1"/>
    <x:xf numFmtId="0" fontId="0" fillId="7" borderId="1" xfId="0" applyFill="1" applyBorder="1"/>
    <x:xf numFmtId="0" fontId="1" fillId="5" borderId="1" xfId="0" applyFont="1" applyFill="1" applyBorder="1" applyAlignment="1">
      <x:alignment horizontal="left" vertical="top"/>
    </x:xf>
    <x:xf numFmtId="0" fontId="0" fillId="5" borderId="1" xfId="0" applyFill="1" applyBorder="1"/>
    <x:xf numFmtId="0" fontId="0" fillId="8" borderId="0" xfId="0" applyFill="1" applyAlignment="1">
      <x:alignment vertical="center"/>
    </x:xf>
    <x:xf numFmtId="0" fontId="1" fillId="4" borderId="0" xfId="0" applyFont="1" applyFill="1"/>
    <x:xf numFmtId="0" fontId="0" fillId="7" borderId="2" xfId="0" applyFill="1" applyBorder="1"/>
    <x:xf numFmtId="0" fontId="1" fillId="5" borderId="4" xfId="0" applyFont="1" applyFill="1" applyBorder="1"/>
    <x:xf numFmtId="0" fontId="0" fillId="5" borderId="4" xfId="0" applyFill="1" applyBorder="1"/>
    <x:xf numFmtId="0" fontId="1" fillId="5" borderId="0" xfId="0" applyFont="1" applyFill="1"/>
    <x:xf numFmtId="0" fontId="0" fillId="5" borderId="5" xfId="0" applyFill="1" applyBorder="1"/>
    <x:xf numFmtId="0" fontId="1" fillId="9" borderId="1" xfId="0" applyFont="1" applyFill="1" applyBorder="1" applyAlignment="1">
      <x:alignment horizontal="left"/>
    </x:xf>
    <x:xf numFmtId="0" fontId="1" fillId="9" borderId="1" xfId="0" applyFont="1" applyFill="1" applyBorder="1"/>
    <x:xf numFmtId="0" fontId="0" fillId="9" borderId="1" xfId="0" applyFill="1" applyBorder="1" applyAlignment="1">
      <x:alignment horizontal="left"/>
    </x:xf>
    <x:xf numFmtId="0" fontId="0" fillId="9" borderId="1" xfId="0" applyFill="1" applyBorder="1"/>
    <x:xf numFmtId="0" fontId="1" fillId="7" borderId="1" xfId="0" applyFont="1" applyFill="1" applyBorder="1" applyAlignment="1">
      <x:alignment horizontal="left"/>
    </x:xf>
    <x:xf numFmtId="0" fontId="1" fillId="6" borderId="1" xfId="0" applyFont="1" applyFill="1" applyBorder="1"/>
    <x:xf numFmtId="0" fontId="1" fillId="5" borderId="1" xfId="0" applyFont="1" applyFill="1" applyBorder="1" applyAlignment="1">
      <x:alignment horizontal="left"/>
    </x:xf>
    <x:xf numFmtId="0" fontId="0" fillId="8" borderId="1" xfId="0" applyFill="1" applyBorder="1"/>
    <x:xf numFmtId="0" fontId="1" fillId="5" borderId="4" xfId="0" applyFont="1" applyFill="1" applyBorder="1" applyAlignment="1">
      <x:alignment vertical="center" wrapText="1"/>
    </x:xf>
    <x:xf numFmtId="0" fontId="0" fillId="0" borderId="4" xfId="0" applyBorder="1"/>
    <x:xf numFmtId="0" fontId="1" fillId="6" borderId="1" xfId="0" applyFont="1" applyFill="1" applyBorder="1" applyAlignment="1">
      <x:alignment horizontal="center" vertical="center"/>
    </x:xf>
    <x:xf numFmtId="0" fontId="0" fillId="6" borderId="1" xfId="0" applyFill="1" applyBorder="1"/>
    <x:xf numFmtId="0" fontId="1" fillId="5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7" borderId="1" xfId="0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2b79e8b034fbe" /><Relationship Type="http://schemas.openxmlformats.org/officeDocument/2006/relationships/theme" Target="/xl/theme/theme1.xml" Id="Ra9e0c62da8b246c3" /><Relationship Type="http://schemas.openxmlformats.org/officeDocument/2006/relationships/sharedStrings" Target="/xl/sharedStrings.xml" Id="Rbb2845daa79f46ae" /><Relationship Type="http://schemas.openxmlformats.org/officeDocument/2006/relationships/worksheet" Target="/xl/worksheets/sheet1.xml" Id="R62f33dd8ee344803" /><Relationship Type="http://schemas.openxmlformats.org/officeDocument/2006/relationships/worksheet" Target="/xl/worksheets/sheet2.xml" Id="Ra8c44f172cd04528" /><Relationship Type="http://schemas.openxmlformats.org/officeDocument/2006/relationships/worksheet" Target="/xl/worksheets/sheet3.xml" Id="R26455a1345b1496e" /><Relationship Type="http://schemas.openxmlformats.org/officeDocument/2006/relationships/worksheet" Target="/xl/worksheets/sheet4.xml" Id="R6f163b83e77442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48f567e4a846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1b9f4aef46b4f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44721ec38424d5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0979c6ee2fd4c62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6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Recipe Monday vs Saturday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600" b="1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529838145231846"/>
          <c:y val="0.18300925925925926"/>
          <c:w val="0.7966828521434821"/>
          <c:h val="0.6170680227471566"/>
        </c:manualLayout>
      </c:layout>
      <c:scatterChart>
        <c:scatterStyle val="lineMarker"/>
        <c:ser>
          <c:idx val="0"/>
          <c:order val="0"/>
          <c:spPr>
            <a:ln xmlns:a="http://schemas.openxmlformats.org/drawingml/2006/main" w="25400">
              <a:noFill/>
            </a:ln>
          </c:spPr>
          <c:marker>
            <c:symbol val="circle"/>
            <c:size val="6"/>
            <c: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1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1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trendline>
            <c:spPr>
              <a:ln xmlns:a="http://schemas.openxmlformats.org/drawingml/2006/main" w="6350">
                <a:solidFill>
                  <a:schemeClr val="accent1"/>
                </a:solidFill>
                <a:prstDash val="sysDash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rot="0" vert="horz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u="non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</c:trendlineLbl>
          </c:trendline>
          <c:xVal>
            <c:numRef>
              <c:f>'Recipe Monday vs Saturday'!$B$5:$B$19</c:f>
              <c:numCache>
                <c:formatCode>General</c:formatCode>
                <c:ptCount val="15"/>
                <c:pt idx="0">
                  <c:v>1629</c:v>
                </c:pt>
                <c:pt idx="1">
                  <c:v>1620</c:v>
                </c:pt>
                <c:pt idx="2">
                  <c:v>1619</c:v>
                </c:pt>
                <c:pt idx="3">
                  <c:v>1622</c:v>
                </c:pt>
                <c:pt idx="4">
                  <c:v>1623</c:v>
                </c:pt>
                <c:pt idx="5">
                  <c:v>1624</c:v>
                </c:pt>
                <c:pt idx="6">
                  <c:v>1635</c:v>
                </c:pt>
                <c:pt idx="7">
                  <c:v>1618</c:v>
                </c:pt>
                <c:pt idx="8">
                  <c:v>1655</c:v>
                </c:pt>
                <c:pt idx="9">
                  <c:v>1670</c:v>
                </c:pt>
                <c:pt idx="10">
                  <c:v>1615</c:v>
                </c:pt>
                <c:pt idx="11">
                  <c:v>1612</c:v>
                </c:pt>
                <c:pt idx="12">
                  <c:v>1631</c:v>
                </c:pt>
                <c:pt idx="13">
                  <c:v>1674</c:v>
                </c:pt>
                <c:pt idx="14">
                  <c:v>1628</c:v>
                </c:pt>
              </c:numCache>
            </c:numRef>
          </c:xVal>
          <c:yVal>
            <c:numRef>
              <c:f>'Recipe Monday vs Saturday'!$C$5:$C$19</c:f>
              <c:numCache>
                <c:formatCode>General</c:formatCode>
                <c:ptCount val="15"/>
                <c:pt idx="0">
                  <c:v>1767</c:v>
                </c:pt>
                <c:pt idx="1">
                  <c:v>1752</c:v>
                </c:pt>
                <c:pt idx="2">
                  <c:v>1754</c:v>
                </c:pt>
                <c:pt idx="3">
                  <c:v>1756</c:v>
                </c:pt>
                <c:pt idx="4">
                  <c:v>1763</c:v>
                </c:pt>
                <c:pt idx="5">
                  <c:v>1764</c:v>
                </c:pt>
                <c:pt idx="6">
                  <c:v>1778</c:v>
                </c:pt>
                <c:pt idx="7">
                  <c:v>1753</c:v>
                </c:pt>
                <c:pt idx="8">
                  <c:v>1788</c:v>
                </c:pt>
                <c:pt idx="9">
                  <c:v>1785</c:v>
                </c:pt>
                <c:pt idx="10">
                  <c:v>1756</c:v>
                </c:pt>
                <c:pt idx="11">
                  <c:v>1782</c:v>
                </c:pt>
                <c:pt idx="12">
                  <c:v>1774</c:v>
                </c:pt>
                <c:pt idx="13">
                  <c:v>1811</c:v>
                </c:pt>
                <c:pt idx="14">
                  <c:v>1767</c:v>
                </c:pt>
              </c:numCache>
            </c:numRef>
          </c:yVal>
        </c:ser>
        <c:ser>
          <c:idx val="1"/>
          <c:order val="1"/>
          <c:tx>
            <c:v>CENTRE DE GRAVITE</c:v>
          </c:tx>
          <c:spPr>
            <a:ln xmlns:a="http://schemas.openxmlformats.org/drawingml/2006/main" w="25400">
              <a:noFill/>
            </a:ln>
          </c:spPr>
          <c:marker>
            <c:symbol val="circle"/>
            <c:size val="6"/>
            <c: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lumMod val="102000"/>
                      <a:satMod val="103000"/>
                    </a:schemeClr>
                  </a:gs>
                  <a:gs pos="50000">
                    <a:schemeClr val="accent2">
                      <a:shade val="100000"/>
                      <a:lumMod val="100000"/>
                      <a:satMod val="110000"/>
                    </a:schemeClr>
                  </a:gs>
                  <a:gs pos="100000">
                    <a:schemeClr val="accent2"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</a:gra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'Recipe Monday vs Saturday'!$B$20</c:f>
              <c:numCache>
                <c:formatCode>General</c:formatCode>
                <c:ptCount val="1"/>
                <c:pt idx="0">
                  <c:v>1631.6666666666667</c:v>
                </c:pt>
              </c:numCache>
            </c:numRef>
          </c:xVal>
          <c:yVal>
            <c:numRef>
              <c:f>'Recipe Monday vs Saturday'!$C$20</c:f>
              <c:numCache>
                <c:formatCode>General</c:formatCode>
                <c:ptCount val="1"/>
                <c:pt idx="0">
                  <c:v>1770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271568"/>
        <c:axId val="1940271984"/>
      </c:scatterChart>
      <c:valAx>
        <c:axId val="194027198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Saturday Recipe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40271568"/>
        <c:crosses val="autoZero"/>
        <c:crossBetween val="midCat"/>
      </c:valAx>
      <c:valAx>
        <c:axId val="1940271568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Monday Recipe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40271984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Shoe size Vs IQ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noFill/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6350">
                <a:solidFill>
                  <a:schemeClr val="accent1"/>
                </a:solidFill>
              </a:ln>
            </c:spPr>
          </c:marker>
          <c:trendline>
            <c:spPr>
              <a:ln xmlns:a="http://schemas.openxmlformats.org/drawingml/2006/main" w="19050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trendline>
            <c:spPr>
              <a:ln xmlns:a="http://schemas.openxmlformats.org/drawingml/2006/main" w="19050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23041557305336832"/>
                  <c:y val="0.0037707786526684165"/>
                </c:manualLayout>
              </c:layout>
              <c:numFmt formatCode="General" sourceLinked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rot="0" vert="horz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u="non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</a:p>
              </c:txPr>
            </c:trendlineLbl>
          </c:trendline>
          <c:xVal>
            <c:numRef>
              <c:f>'Shoe size Vs IQ'!$B$2:$B$21</c:f>
              <c:numCache>
                <c:formatCode>General</c:formatCode>
                <c:ptCount val="20"/>
                <c:pt idx="0">
                  <c:v>31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33</c:v>
                </c:pt>
                <c:pt idx="6">
                  <c:v>34</c:v>
                </c:pt>
                <c:pt idx="7">
                  <c:v>38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31</c:v>
                </c:pt>
                <c:pt idx="12">
                  <c:v>38</c:v>
                </c:pt>
                <c:pt idx="13">
                  <c:v>35</c:v>
                </c:pt>
                <c:pt idx="14">
                  <c:v>35</c:v>
                </c:pt>
                <c:pt idx="15">
                  <c:v>32</c:v>
                </c:pt>
                <c:pt idx="16">
                  <c:v>36</c:v>
                </c:pt>
                <c:pt idx="17">
                  <c:v>30</c:v>
                </c:pt>
                <c:pt idx="18">
                  <c:v>35</c:v>
                </c:pt>
                <c:pt idx="19">
                  <c:v>32</c:v>
                </c:pt>
              </c:numCache>
            </c:numRef>
          </c:xVal>
          <c:yVal>
            <c:numRef>
              <c:f>'Shoe size Vs IQ'!$C$2:$C$21</c:f>
              <c:numCache>
                <c:formatCode>General</c:formatCode>
                <c:ptCount val="20"/>
                <c:pt idx="0">
                  <c:v>50</c:v>
                </c:pt>
                <c:pt idx="1">
                  <c:v>49</c:v>
                </c:pt>
                <c:pt idx="2">
                  <c:v>55</c:v>
                </c:pt>
                <c:pt idx="3">
                  <c:v>52</c:v>
                </c:pt>
                <c:pt idx="4">
                  <c:v>56</c:v>
                </c:pt>
                <c:pt idx="5">
                  <c:v>63</c:v>
                </c:pt>
                <c:pt idx="6">
                  <c:v>65</c:v>
                </c:pt>
                <c:pt idx="7">
                  <c:v>143</c:v>
                </c:pt>
                <c:pt idx="8">
                  <c:v>69</c:v>
                </c:pt>
                <c:pt idx="9">
                  <c:v>80</c:v>
                </c:pt>
                <c:pt idx="10">
                  <c:v>110</c:v>
                </c:pt>
                <c:pt idx="11">
                  <c:v>52</c:v>
                </c:pt>
                <c:pt idx="12">
                  <c:v>150</c:v>
                </c:pt>
                <c:pt idx="13">
                  <c:v>75</c:v>
                </c:pt>
                <c:pt idx="14">
                  <c:v>121</c:v>
                </c:pt>
                <c:pt idx="15">
                  <c:v>64</c:v>
                </c:pt>
                <c:pt idx="16">
                  <c:v>95</c:v>
                </c:pt>
                <c:pt idx="17">
                  <c:v>50</c:v>
                </c:pt>
                <c:pt idx="18">
                  <c:v>77</c:v>
                </c:pt>
                <c:pt idx="19">
                  <c:v>55</c:v>
                </c:pt>
              </c:numCache>
            </c:numRef>
          </c:yVal>
        </c:ser>
        <c:ser>
          <c:idx val="1"/>
          <c:order val="1"/>
          <c:tx>
            <c:v>Centre de gravité</c:v>
          </c:tx>
          <c:spPr>
            <a:ln xmlns:a="http://schemas.openxmlformats.org/drawingml/2006/main" w="25400">
              <a:noFill/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'Shoe size Vs IQ'!$B$22</c:f>
              <c:numCache>
                <c:formatCode>General</c:formatCode>
                <c:ptCount val="1"/>
                <c:pt idx="0">
                  <c:v>33.7</c:v>
                </c:pt>
              </c:numCache>
            </c:numRef>
          </c:xVal>
          <c:yVal>
            <c:numRef>
              <c:f>'Shoe size Vs IQ'!$C$22</c:f>
              <c:numCache>
                <c:formatCode>General</c:formatCode>
                <c:ptCount val="1"/>
                <c:pt idx="0">
                  <c:v>76.55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781472"/>
        <c:axId val="1231782304"/>
      </c:scatterChart>
      <c:valAx>
        <c:axId val="123178230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IQ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31781472"/>
        <c:crosses val="autoZero"/>
        <c:crossBetween val="midCat"/>
      </c:valAx>
      <c:valAx>
        <c:axId val="1231781472"/>
        <c:scaling>
          <c:orientation val="minMax"/>
          <c:min val="25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Shoe size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31782304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Age Vs Stress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ubbleChart>
        <c:ser>
          <c:idx val="0"/>
          <c:order val="0"/>
          <c: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>
              <a:noFill/>
            </a:ln>
          </c:spPr>
          <c:xVal>
            <c:numRef>
              <c:f>'Age Vs Stress'!$A$29:$A$52</c:f>
              <c:numCache>
                <c:formatCode>General</c:formatCode>
                <c:ptCount val="24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</c:numCache>
            </c:numRef>
          </c:xVal>
          <c:yVal>
            <c:numRef>
              <c:f>'Age Vs Stress'!$B$29:$B$52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yVal>
          <c:bubbleSize>
            <c:numLit>
              <c:formatCode>General</c:formatCode>
              <c:ptCount val="24"/>
              <c:pt idx="0">
                <c:v>14</c:v>
              </c:pt>
              <c:pt idx="1">
                <c:v>6</c:v>
              </c:pt>
              <c:pt idx="2">
                <c:v>5</c:v>
              </c:pt>
              <c:pt idx="3">
                <c:v>3</c:v>
              </c:pt>
              <c:pt idx="4">
                <c:v>12</c:v>
              </c:pt>
              <c:pt idx="5">
                <c:v>7</c:v>
              </c:pt>
              <c:pt idx="6">
                <c:v>5</c:v>
              </c:pt>
              <c:pt idx="7">
                <c:v>4</c:v>
              </c:pt>
              <c:pt idx="8">
                <c:v>10</c:v>
              </c:pt>
              <c:pt idx="9">
                <c:v>10</c:v>
              </c:pt>
              <c:pt idx="10">
                <c:v>3</c:v>
              </c:pt>
              <c:pt idx="11">
                <c:v>2</c:v>
              </c:pt>
              <c:pt idx="12">
                <c:v>4</c:v>
              </c:pt>
              <c:pt idx="13">
                <c:v>3</c:v>
              </c:pt>
              <c:pt idx="14">
                <c:v>2</c:v>
              </c:pt>
              <c:pt idx="15">
                <c:v>5</c:v>
              </c:pt>
              <c:pt idx="16">
                <c:v>2</c:v>
              </c:pt>
              <c:pt idx="17">
                <c:v>10</c:v>
              </c:pt>
              <c:pt idx="18">
                <c:v>4</c:v>
              </c:pt>
              <c:pt idx="19">
                <c:v>1</c:v>
              </c:pt>
              <c:pt idx="20">
                <c:v>3</c:v>
              </c:pt>
              <c:pt idx="21">
                <c:v>3</c:v>
              </c:pt>
              <c:pt idx="22">
                <c:v>2</c:v>
              </c:pt>
              <c:pt idx="23">
                <c:v>4</c:v>
              </c:pt>
            </c:numLit>
          </c:bubbleSize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002895"/>
        <c:axId val="2036016207"/>
      </c:bubbleChart>
      <c:valAx>
        <c:axId val="203601620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Level of stress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36002895"/>
        <c:crosses val="autoZero"/>
        <c:crossBetween val="midCat"/>
      </c:valAx>
      <c:valAx>
        <c:axId val="2036002895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Age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36016207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Power Vs Duration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ubbleChart>
        <c:ser>
          <c:idx val="0"/>
          <c:order val="0"/>
          <c:tx>
            <c:v>s1</c:v>
          </c:tx>
          <c:spPr>
            <a:solidFill xmlns:a="http://schemas.openxmlformats.org/drawingml/2006/main">
              <a:schemeClr val="accent1">
                <a:alpha val="75000"/>
              </a:schemeClr>
            </a:solidFill>
            <a:ln xmlns:a="http://schemas.openxmlformats.org/drawingml/2006/main">
              <a:noFill/>
            </a:ln>
          </c:spPr>
          <c:xVal>
            <c:numRef>
              <c:f>'Power vs Duration'!$A$23:$A$31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xVal>
          <c:yVal>
            <c:numRef>
              <c:f>'Power vs Duration'!$B$23:$B$31</c:f>
              <c:numCache>
                <c:formatCode>General</c:formatCode>
                <c:ptCount val="9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</c:numCache>
            </c:numRef>
          </c:yVal>
          <c:bubbleSize>
            <c:numLit>
              <c:formatCode>General</c:formatCode>
              <c:ptCount val="9"/>
              <c:pt idx="0">
                <c:v>1</c:v>
              </c:pt>
              <c:pt idx="1">
                <c:v>5</c:v>
              </c:pt>
              <c:pt idx="2">
                <c:v>25</c:v>
              </c:pt>
              <c:pt idx="3">
                <c:v>8</c:v>
              </c:pt>
              <c:pt idx="4">
                <c:v>20</c:v>
              </c:pt>
              <c:pt idx="5">
                <c:v>2</c:v>
              </c:pt>
              <c:pt idx="6">
                <c:v>30</c:v>
              </c:pt>
              <c:pt idx="7">
                <c:v>7</c:v>
              </c:pt>
              <c:pt idx="8">
                <c:v>2</c:v>
              </c:pt>
            </c:numLit>
          </c:bubbleSize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568959"/>
        <c:axId val="2007561471"/>
      </c:bubbleChart>
      <c:valAx>
        <c:axId val="2007561471"/>
        <c:scaling>
          <c:orientation val="minMax"/>
          <c:min val="1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Duration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07568959"/>
        <c:crosses val="autoZero"/>
        <c:crossBetween val="midCat"/>
      </c:valAx>
      <c:valAx>
        <c:axId val="2007568959"/>
        <c:scaling>
          <c:orientation val="minMax"/>
          <c:min val="3.5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Power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07561471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727075</xdr:colOff>
      <xdr:row>5</xdr:row>
      <xdr:rowOff>73025</xdr:rowOff>
    </xdr:from>
    <xdr:to>
      <xdr:col>10</xdr:col>
      <xdr:colOff>727075</xdr:colOff>
      <xdr:row>20</xdr:row>
      <xdr:rowOff>53975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48f567e4a846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644525</xdr:colOff>
      <xdr:row>7</xdr:row>
      <xdr:rowOff>15875</xdr:rowOff>
    </xdr:from>
    <xdr:to>
      <xdr:col>10</xdr:col>
      <xdr:colOff>644525</xdr:colOff>
      <xdr:row>21</xdr:row>
      <xdr:rowOff>92075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b9f4aef46b4ff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250825</xdr:colOff>
      <xdr:row>33</xdr:row>
      <xdr:rowOff>92075</xdr:rowOff>
    </xdr:from>
    <xdr:to>
      <xdr:col>10</xdr:col>
      <xdr:colOff>682625</xdr:colOff>
      <xdr:row>48</xdr:row>
      <xdr:rowOff>73025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4721ec38424d5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244475</xdr:colOff>
      <xdr:row>20</xdr:row>
      <xdr:rowOff>79375</xdr:rowOff>
    </xdr:from>
    <xdr:to>
      <xdr:col>10</xdr:col>
      <xdr:colOff>676275</xdr:colOff>
      <xdr:row>35</xdr:row>
      <xdr:rowOff>60325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979c6ee2fd4c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5a52be67794c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662ab70046143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fe88da4a88c4a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bf60ee180224b25" /></Relationships>
</file>

<file path=xl/worksheets/sheet1.xml><?xml version="1.0" encoding="utf-8"?>
<x:worksheet xmlns:x="http://schemas.openxmlformats.org/spreadsheetml/2006/main">
  <x:sheetFormatPr defaultColWidth="10.90625" defaultRowHeight="14.5"/>
  <x:cols>
    <x:col min="1" max="1" width="35.6328125" style="2" customWidth="1"/>
    <x:col min="2" max="2" width="15.6328125" style="2" customWidth="1"/>
    <x:col min="3" max="3" width="16.6328125" style="2" customWidth="1"/>
    <x:col min="4" max="4" width="10.90625" style="6" customWidth="0"/>
  </x:cols>
  <x:sheetData>
    <x:row r="4">
      <x:c r="A4" s="1" t="s">
        <x:v>0</x:v>
      </x:c>
      <x:c r="B4" s="1" t="s">
        <x:v>1</x:v>
      </x:c>
      <x:c r="C4" s="1" t="s">
        <x:v>2</x:v>
      </x:c>
      <x:c r="D4" s="5" t="s">
        <x:v>3</x:v>
      </x:c>
    </x:row>
    <x:row r="5">
      <x:c r="A5" s="1">
        <x:v>1</x:v>
      </x:c>
      <x:c r="B5" s="2">
        <x:v>1629</x:v>
      </x:c>
      <x:c r="C5" s="2">
        <x:v>1767</x:v>
      </x:c>
      <x:c r="D5" s="6">
        <x:f> B5*C5</x:f>
        <x:v>2878443</x:v>
      </x:c>
    </x:row>
    <x:row r="6">
      <x:c r="A6" s="1">
        <x:v>2</x:v>
      </x:c>
      <x:c r="B6" s="2">
        <x:v>1620</x:v>
      </x:c>
      <x:c r="C6" s="2">
        <x:v>1752</x:v>
      </x:c>
      <x:c r="D6" s="6">
        <x:f t="shared" ref="D6:D19" si="0"> B6*C6</x:f>
        <x:v>2838240</x:v>
      </x:c>
    </x:row>
    <x:row r="7">
      <x:c r="A7" s="1">
        <x:v>3</x:v>
      </x:c>
      <x:c r="B7" s="2">
        <x:v>1619</x:v>
      </x:c>
      <x:c r="C7" s="2">
        <x:v>1754</x:v>
      </x:c>
      <x:c r="D7" s="6">
        <x:f t="shared" si="0"/>
        <x:v>2839726</x:v>
      </x:c>
    </x:row>
    <x:row r="8">
      <x:c r="A8" s="1">
        <x:v>4</x:v>
      </x:c>
      <x:c r="B8" s="2">
        <x:v>1622</x:v>
      </x:c>
      <x:c r="C8" s="2">
        <x:v>1756</x:v>
      </x:c>
      <x:c r="D8" s="6">
        <x:f t="shared" si="0"/>
        <x:v>2848232</x:v>
      </x:c>
    </x:row>
    <x:row r="9">
      <x:c r="A9" s="1">
        <x:v>5</x:v>
      </x:c>
      <x:c r="B9" s="2">
        <x:v>1623</x:v>
      </x:c>
      <x:c r="C9" s="2">
        <x:v>1763</x:v>
      </x:c>
      <x:c r="D9" s="6">
        <x:f t="shared" si="0"/>
        <x:v>2861349</x:v>
      </x:c>
    </x:row>
    <x:row r="10">
      <x:c r="A10" s="1">
        <x:v>6</x:v>
      </x:c>
      <x:c r="B10" s="2">
        <x:v>1624</x:v>
      </x:c>
      <x:c r="C10" s="2">
        <x:v>1764</x:v>
      </x:c>
      <x:c r="D10" s="6">
        <x:f t="shared" si="0"/>
        <x:v>2864736</x:v>
      </x:c>
    </x:row>
    <x:row r="11">
      <x:c r="A11" s="1">
        <x:v>7</x:v>
      </x:c>
      <x:c r="B11" s="2">
        <x:v>1635</x:v>
      </x:c>
      <x:c r="C11" s="2">
        <x:v>1778</x:v>
      </x:c>
      <x:c r="D11" s="6">
        <x:f t="shared" si="0"/>
        <x:v>2907030</x:v>
      </x:c>
    </x:row>
    <x:row r="12">
      <x:c r="A12" s="1">
        <x:v>8</x:v>
      </x:c>
      <x:c r="B12" s="2">
        <x:v>1618</x:v>
      </x:c>
      <x:c r="C12" s="2">
        <x:v>1753</x:v>
      </x:c>
      <x:c r="D12" s="6">
        <x:f t="shared" si="0"/>
        <x:v>2836354</x:v>
      </x:c>
    </x:row>
    <x:row r="13">
      <x:c r="A13" s="1">
        <x:v>9</x:v>
      </x:c>
      <x:c r="B13" s="2">
        <x:v>1655</x:v>
      </x:c>
      <x:c r="C13" s="2">
        <x:v>1788</x:v>
      </x:c>
      <x:c r="D13" s="6">
        <x:f t="shared" si="0"/>
        <x:v>2959140</x:v>
      </x:c>
    </x:row>
    <x:row r="14">
      <x:c r="A14" s="1">
        <x:v>10</x:v>
      </x:c>
      <x:c r="B14" s="2">
        <x:v>1670</x:v>
      </x:c>
      <x:c r="C14" s="2">
        <x:v>1785</x:v>
      </x:c>
      <x:c r="D14" s="6">
        <x:f t="shared" si="0"/>
        <x:v>2980950</x:v>
      </x:c>
    </x:row>
    <x:row r="15">
      <x:c r="A15" s="1">
        <x:v>11</x:v>
      </x:c>
      <x:c r="B15" s="2">
        <x:v>1615</x:v>
      </x:c>
      <x:c r="C15" s="2">
        <x:v>1756</x:v>
      </x:c>
      <x:c r="D15" s="6">
        <x:f t="shared" si="0"/>
        <x:v>2835940</x:v>
      </x:c>
    </x:row>
    <x:row r="16">
      <x:c r="A16" s="1">
        <x:v>12</x:v>
      </x:c>
      <x:c r="B16" s="2">
        <x:v>1612</x:v>
      </x:c>
      <x:c r="C16" s="2">
        <x:v>1782</x:v>
      </x:c>
      <x:c r="D16" s="6">
        <x:f t="shared" si="0"/>
        <x:v>2872584</x:v>
      </x:c>
    </x:row>
    <x:row r="17">
      <x:c r="A17" s="1">
        <x:v>13</x:v>
      </x:c>
      <x:c r="B17" s="2">
        <x:v>1631</x:v>
      </x:c>
      <x:c r="C17" s="2">
        <x:v>1774</x:v>
      </x:c>
      <x:c r="D17" s="6">
        <x:f t="shared" si="0"/>
        <x:v>2893394</x:v>
      </x:c>
    </x:row>
    <x:row r="18">
      <x:c r="A18" s="1">
        <x:v>14</x:v>
      </x:c>
      <x:c r="B18" s="2">
        <x:v>1674</x:v>
      </x:c>
      <x:c r="C18" s="2">
        <x:v>1811</x:v>
      </x:c>
      <x:c r="D18" s="6">
        <x:f t="shared" si="0"/>
        <x:v>3031614</x:v>
      </x:c>
    </x:row>
    <x:row r="19">
      <x:c r="A19" s="1">
        <x:v>15</x:v>
      </x:c>
      <x:c r="B19" s="2">
        <x:v>1628</x:v>
      </x:c>
      <x:c r="C19" s="2">
        <x:v>1767</x:v>
      </x:c>
      <x:c r="D19" s="6">
        <x:f t="shared" si="0"/>
        <x:v>2876676</x:v>
      </x:c>
    </x:row>
    <x:row r="20">
      <x:c r="A20" s="4" t="s">
        <x:v>4</x:v>
      </x:c>
      <x:c r="B20" s="3">
        <x:f> AVERAGE(B5:B19)</x:f>
        <x:v>1631.6666666666667</x:v>
      </x:c>
      <x:c r="C20" s="3">
        <x:f> AVERAGE(C5:C19)</x:f>
        <x:v>1770</x:v>
      </x:c>
      <x:c r="D20" s="7">
        <x:f> AVERAGE(D5:D19)</x:f>
        <x:v>2888293.8666666667</x:v>
      </x:c>
    </x:row>
    <x:row r="21">
      <x:c r="A21" s="4" t="s">
        <x:v>5</x:v>
      </x:c>
      <x:c r="B21" s="3">
        <x:f> STDEVP(B5:B19)</x:f>
        <x:v>18.642841938812751</x:v>
      </x:c>
      <x:c r="C21" s="3">
        <x:f>STDEVP(C5:C19)</x:f>
        <x:v>15.954100831238762</x:v>
      </x:c>
    </x:row>
    <x:row r="22">
      <x:c r="A22" s="4" t="s">
        <x:v>6</x:v>
      </x:c>
      <x:c r="B22" s="3">
        <x:f> D20 - (B20*C20)</x:f>
        <x:v>243.86666666669771</x:v>
      </x:c>
    </x:row>
    <x:row r="23">
      <x:c r="A23" s="4" t="s">
        <x:v>7</x:v>
      </x:c>
      <x:c r="B23" s="3">
        <x:f> COVAR(B5:B19,C5:C19)</x:f>
        <x:v>243.86666666666667</x:v>
      </x:c>
    </x:row>
    <x:row r="24">
      <x:c r="A24" s="4" t="s">
        <x:v>8</x:v>
      </x:c>
      <x:c r="B24" s="3">
        <x:f> B22/(B21*C21)</x:f>
        <x:v>0.81991341488104652</x:v>
      </x:c>
    </x:row>
    <x:row r="25">
      <x:c r="A25" s="4" t="s">
        <x:v>9</x:v>
      </x:c>
      <x:c r="B25" s="3">
        <x:f> CORREL(B5:B19, C5:C19)</x:f>
        <x:v>0.81991341488094216</x:v>
      </x:c>
    </x:row>
    <x:row r="26">
      <x:c r="A26" s="4" t="s">
        <x:v>10</x:v>
      </x:c>
      <x:c r="B26" s="3">
        <x:f> B24*(C21/B21)</x:f>
        <x:v>0.70166240409216085</x:v>
      </x:c>
    </x:row>
    <x:row r="27">
      <x:c r="A27" s="4" t="s">
        <x:v>11</x:v>
      </x:c>
      <x:c r="B27" s="3">
        <x:f> C20 - (B26*B20)</x:f>
        <x:v>625.12084398962406</x:v>
      </x:c>
      <x:c r="C27" s="3"/>
      <x:c r="D27" s="7" t="s">
        <x:v>12</x:v>
      </x:c>
      <x:c r="E27" s="8"/>
      <x:c r="F27" s="8"/>
    </x:row>
    <x:row r="28">
      <x:c r="A28" s="4" t="s">
        <x:v>13</x:v>
      </x:c>
      <x:c r="B28" s="3">
        <x:f> B24^2</x:f>
        <x:v>0.67225800790189916</x:v>
      </x:c>
    </x:row>
  </x:sheetData>
  <x:pageMargins left="0.7" right="0.7" top="0.75" bottom="0.75" header="0.3" footer="0.3"/>
  <x:drawing xmlns:r="http://schemas.openxmlformats.org/officeDocument/2006/relationships" r:id="R225a52be67794ce5"/>
</x:worksheet>
</file>

<file path=xl/worksheets/sheet2.xml><?xml version="1.0" encoding="utf-8"?>
<x:worksheet xmlns:x="http://schemas.openxmlformats.org/spreadsheetml/2006/main">
  <x:sheetFormatPr defaultColWidth="10.90625" defaultRowHeight="14.5"/>
  <x:cols>
    <x:col min="1" max="1" width="35.6328125" customWidth="1"/>
    <x:col min="2" max="4" width="15.6328125" customWidth="1"/>
  </x:cols>
  <x:sheetData>
    <x:row r="1">
      <x:c r="A1" s="9" t="s">
        <x:v>14</x:v>
      </x:c>
      <x:c r="B1" s="9" t="s">
        <x:v>15</x:v>
      </x:c>
      <x:c r="C1" s="9" t="s">
        <x:v>16</x:v>
      </x:c>
      <x:c r="D1" s="9" t="s">
        <x:v>3</x:v>
      </x:c>
    </x:row>
    <x:row r="2" ht="15">
      <x:c r="A2" s="9">
        <x:v>1</x:v>
      </x:c>
      <x:c r="B2" s="10">
        <x:v>31</x:v>
      </x:c>
      <x:c r="C2" s="10">
        <x:v>50</x:v>
      </x:c>
      <x:c r="D2">
        <x:f> B2*C2</x:f>
        <x:v>1550</x:v>
      </x:c>
    </x:row>
    <x:row r="3" ht="15">
      <x:c r="A3" s="9">
        <x:v>2</x:v>
      </x:c>
      <x:c r="B3" s="10">
        <x:v>30</x:v>
      </x:c>
      <x:c r="C3" s="10">
        <x:v>49</x:v>
      </x:c>
      <x:c r="D3">
        <x:f t="shared" ref="D3:D21" si="0"> B3*C3</x:f>
        <x:v>1470</x:v>
      </x:c>
    </x:row>
    <x:row r="4" ht="15">
      <x:c r="A4" s="9">
        <x:v>3</x:v>
      </x:c>
      <x:c r="B4" s="10">
        <x:v>31</x:v>
      </x:c>
      <x:c r="C4" s="10">
        <x:v>55</x:v>
      </x:c>
      <x:c r="D4">
        <x:f t="shared" si="0"/>
        <x:v>1705</x:v>
      </x:c>
    </x:row>
    <x:row r="5" ht="15">
      <x:c r="A5" s="9">
        <x:v>4</x:v>
      </x:c>
      <x:c r="B5" s="10">
        <x:v>32</x:v>
      </x:c>
      <x:c r="C5" s="10">
        <x:v>52</x:v>
      </x:c>
      <x:c r="D5">
        <x:f t="shared" si="0"/>
        <x:v>1664</x:v>
      </x:c>
    </x:row>
    <x:row r="6" ht="15">
      <x:c r="A6" s="9">
        <x:v>5</x:v>
      </x:c>
      <x:c r="B6" s="10">
        <x:v>33</x:v>
      </x:c>
      <x:c r="C6" s="10">
        <x:v>56</x:v>
      </x:c>
      <x:c r="D6">
        <x:f t="shared" si="0"/>
        <x:v>1848</x:v>
      </x:c>
    </x:row>
    <x:row r="7" ht="15">
      <x:c r="A7" s="9">
        <x:v>6</x:v>
      </x:c>
      <x:c r="B7" s="10">
        <x:v>33</x:v>
      </x:c>
      <x:c r="C7" s="10">
        <x:v>63</x:v>
      </x:c>
      <x:c r="D7">
        <x:f t="shared" si="0"/>
        <x:v>2079</x:v>
      </x:c>
    </x:row>
    <x:row r="8" ht="15">
      <x:c r="A8" s="9">
        <x:v>7</x:v>
      </x:c>
      <x:c r="B8" s="10">
        <x:v>34</x:v>
      </x:c>
      <x:c r="C8" s="10">
        <x:v>65</x:v>
      </x:c>
      <x:c r="D8">
        <x:f t="shared" si="0"/>
        <x:v>2210</x:v>
      </x:c>
    </x:row>
    <x:row r="9" ht="15">
      <x:c r="A9" s="9">
        <x:v>8</x:v>
      </x:c>
      <x:c r="B9" s="10">
        <x:v>38</x:v>
      </x:c>
      <x:c r="C9" s="10">
        <x:v>143</x:v>
      </x:c>
      <x:c r="D9">
        <x:f t="shared" si="0"/>
        <x:v>5434</x:v>
      </x:c>
    </x:row>
    <x:row r="10" ht="15">
      <x:c r="A10" s="9">
        <x:v>9</x:v>
      </x:c>
      <x:c r="B10" s="10">
        <x:v>35</x:v>
      </x:c>
      <x:c r="C10" s="10">
        <x:v>69</x:v>
      </x:c>
      <x:c r="D10">
        <x:f t="shared" si="0"/>
        <x:v>2415</x:v>
      </x:c>
    </x:row>
    <x:row r="11" ht="15">
      <x:c r="A11" s="9">
        <x:v>10</x:v>
      </x:c>
      <x:c r="B11" s="10">
        <x:v>36</x:v>
      </x:c>
      <x:c r="C11" s="10">
        <x:v>80</x:v>
      </x:c>
      <x:c r="D11">
        <x:f t="shared" si="0"/>
        <x:v>2880</x:v>
      </x:c>
    </x:row>
    <x:row r="12" ht="15">
      <x:c r="A12" s="9">
        <x:v>11</x:v>
      </x:c>
      <x:c r="B12" s="10">
        <x:v>37</x:v>
      </x:c>
      <x:c r="C12" s="10">
        <x:v>110</x:v>
      </x:c>
      <x:c r="D12">
        <x:f t="shared" si="0"/>
        <x:v>4070</x:v>
      </x:c>
    </x:row>
    <x:row r="13" ht="15">
      <x:c r="A13" s="9">
        <x:v>12</x:v>
      </x:c>
      <x:c r="B13" s="10">
        <x:v>31</x:v>
      </x:c>
      <x:c r="C13" s="10">
        <x:v>52</x:v>
      </x:c>
      <x:c r="D13">
        <x:f t="shared" si="0"/>
        <x:v>1612</x:v>
      </x:c>
    </x:row>
    <x:row r="14" ht="15">
      <x:c r="A14" s="9">
        <x:v>13</x:v>
      </x:c>
      <x:c r="B14" s="10">
        <x:v>38</x:v>
      </x:c>
      <x:c r="C14" s="10">
        <x:v>150</x:v>
      </x:c>
      <x:c r="D14">
        <x:f t="shared" si="0"/>
        <x:v>5700</x:v>
      </x:c>
    </x:row>
    <x:row r="15" ht="15">
      <x:c r="A15" s="9">
        <x:v>14</x:v>
      </x:c>
      <x:c r="B15" s="10">
        <x:v>35</x:v>
      </x:c>
      <x:c r="C15" s="10">
        <x:v>75</x:v>
      </x:c>
      <x:c r="D15">
        <x:f t="shared" si="0"/>
        <x:v>2625</x:v>
      </x:c>
    </x:row>
    <x:row r="16" ht="15">
      <x:c r="A16" s="9">
        <x:v>15</x:v>
      </x:c>
      <x:c r="B16" s="10">
        <x:v>35</x:v>
      </x:c>
      <x:c r="C16" s="10">
        <x:v>121</x:v>
      </x:c>
      <x:c r="D16">
        <x:f t="shared" si="0"/>
        <x:v>4235</x:v>
      </x:c>
    </x:row>
    <x:row r="17" ht="15">
      <x:c r="A17" s="9">
        <x:v>16</x:v>
      </x:c>
      <x:c r="B17" s="10">
        <x:v>32</x:v>
      </x:c>
      <x:c r="C17" s="10">
        <x:v>64</x:v>
      </x:c>
      <x:c r="D17">
        <x:f t="shared" si="0"/>
        <x:v>2048</x:v>
      </x:c>
    </x:row>
    <x:row r="18" ht="15">
      <x:c r="A18" s="9">
        <x:v>17</x:v>
      </x:c>
      <x:c r="B18" s="10">
        <x:v>36</x:v>
      </x:c>
      <x:c r="C18" s="10">
        <x:v>95</x:v>
      </x:c>
      <x:c r="D18">
        <x:f t="shared" si="0"/>
        <x:v>3420</x:v>
      </x:c>
    </x:row>
    <x:row r="19" ht="15">
      <x:c r="A19" s="9">
        <x:v>18</x:v>
      </x:c>
      <x:c r="B19" s="10">
        <x:v>30</x:v>
      </x:c>
      <x:c r="C19" s="10">
        <x:v>50</x:v>
      </x:c>
      <x:c r="D19">
        <x:f t="shared" si="0"/>
        <x:v>1500</x:v>
      </x:c>
    </x:row>
    <x:row r="20" ht="15">
      <x:c r="A20" s="9">
        <x:v>19</x:v>
      </x:c>
      <x:c r="B20" s="10">
        <x:v>35</x:v>
      </x:c>
      <x:c r="C20" s="10">
        <x:v>77</x:v>
      </x:c>
      <x:c r="D20">
        <x:f t="shared" si="0"/>
        <x:v>2695</x:v>
      </x:c>
    </x:row>
    <x:row r="21" ht="15">
      <x:c r="A21" s="9">
        <x:v>20</x:v>
      </x:c>
      <x:c r="B21" s="10">
        <x:v>32</x:v>
      </x:c>
      <x:c r="C21" s="10">
        <x:v>55</x:v>
      </x:c>
      <x:c r="D21">
        <x:f t="shared" si="0"/>
        <x:v>1760</x:v>
      </x:c>
    </x:row>
    <x:row r="22">
      <x:c r="A22" s="4" t="s">
        <x:v>4</x:v>
      </x:c>
      <x:c r="B22" s="11">
        <x:f> AVERAGE(B2:B21)</x:f>
        <x:v>33.700000000000003</x:v>
      </x:c>
      <x:c r="C22" s="11">
        <x:f> AVERAGE(C2:C21)</x:f>
        <x:v>76.55</x:v>
      </x:c>
      <x:c r="D22" s="11">
        <x:f> AVERAGE(D2:D21)</x:f>
        <x:v>2646</x:v>
      </x:c>
    </x:row>
    <x:row r="23">
      <x:c r="A23" s="4" t="s">
        <x:v>5</x:v>
      </x:c>
      <x:c r="B23" s="11">
        <x:f> STDEVP(B2:B21)</x:f>
        <x:v>2.491987158875423</x:v>
      </x:c>
      <x:c r="C23" s="11">
        <x:f> STDEVP(C2:C21)</x:f>
        <x:v>30.42774227575881</x:v>
      </x:c>
    </x:row>
    <x:row r="24">
      <x:c r="A24" s="4" t="s">
        <x:v>6</x:v>
      </x:c>
      <x:c r="B24" s="11">
        <x:f> D22 - (B22*C22)</x:f>
        <x:v>66.264999999999873</x:v>
      </x:c>
    </x:row>
    <x:row r="25">
      <x:c r="A25" s="4" t="s">
        <x:v>7</x:v>
      </x:c>
      <x:c r="B25" s="11">
        <x:f> COVAR(B2:B21, C2:C21)</x:f>
        <x:v>66.264999999999986</x:v>
      </x:c>
    </x:row>
    <x:row r="26">
      <x:c r="A26" s="4" t="s">
        <x:v>8</x:v>
      </x:c>
      <x:c r="B26" s="11">
        <x:f> B24/(B23*C23)</x:f>
        <x:v>0.87391395243104542</x:v>
      </x:c>
    </x:row>
    <x:row r="27">
      <x:c r="A27" s="4" t="s">
        <x:v>9</x:v>
      </x:c>
      <x:c r="B27" s="11">
        <x:f> CORREL(B2:B21, C2:C21)</x:f>
        <x:v>0.87391395243104697</x:v>
      </x:c>
    </x:row>
    <x:row r="28">
      <x:c r="A28" s="4" t="s">
        <x:v>10</x:v>
      </x:c>
      <x:c r="B28" s="11">
        <x:f> (C23/B23)*B26</x:f>
        <x:v>10.670692431561971</x:v>
      </x:c>
      <x:c r="D28" s="11" t="s">
        <x:v>17</x:v>
      </x:c>
      <x:c r="E28" s="11"/>
      <x:c r="F28" s="11"/>
    </x:row>
    <x:row r="29">
      <x:c r="A29" s="4" t="s">
        <x:v>11</x:v>
      </x:c>
      <x:c r="B29" s="11">
        <x:f> C23 - (B28*B23)</x:f>
        <x:v>3.8365137599972137</x:v>
      </x:c>
    </x:row>
    <x:row r="30">
      <x:c r="A30" s="4" t="s">
        <x:v>13</x:v>
      </x:c>
      <x:c r="B30" s="11">
        <x:f> B26^2</x:f>
        <x:v>0.76372559625365155</x:v>
      </x:c>
    </x:row>
  </x:sheetData>
  <x:pageMargins left="0.7" right="0.7" top="0.75" bottom="0.75" header="0.3" footer="0.3"/>
  <x:drawing xmlns:r="http://schemas.openxmlformats.org/officeDocument/2006/relationships" r:id="R3662ab7004614309"/>
</x:worksheet>
</file>

<file path=xl/worksheets/sheet3.xml><?xml version="1.0" encoding="utf-8"?>
<x:worksheet xmlns:x="http://schemas.openxmlformats.org/spreadsheetml/2006/main">
  <x:sheetFormatPr defaultColWidth="10.90625" defaultRowHeight="14.5"/>
  <x:cols>
    <x:col min="1" max="1" width="25.6328125" customWidth="1"/>
    <x:col min="2" max="2" width="20.54296875" customWidth="1"/>
    <x:col min="3" max="3" width="17.6328125" customWidth="1"/>
    <x:col min="8" max="8" width="15.6328125" customWidth="1"/>
    <x:col min="9" max="9" width="19.6328125" customWidth="1"/>
  </x:cols>
  <x:sheetData>
    <x:row r="1" ht="29">
      <x:c r="A1" s="12" t="s">
        <x:v>18</x:v>
      </x:c>
      <x:c r="B1" s="13">
        <x:v>0</x:v>
      </x:c>
      <x:c r="C1" s="13">
        <x:v>1</x:v>
      </x:c>
      <x:c r="D1" s="13">
        <x:v>2</x:v>
      </x:c>
      <x:c r="E1" s="13">
        <x:v>3</x:v>
      </x:c>
      <x:c r="F1" s="14" t="s">
        <x:v>19</x:v>
      </x:c>
    </x:row>
    <x:row r="2">
      <x:c r="A2" s="15" t="s">
        <x:v>20</x:v>
      </x:c>
      <x:c r="B2" s="16">
        <x:v>14</x:v>
      </x:c>
      <x:c r="C2" s="16">
        <x:v>6</x:v>
      </x:c>
      <x:c r="D2" s="16">
        <x:v>5</x:v>
      </x:c>
      <x:c r="E2" s="16">
        <x:v>3</x:v>
      </x:c>
      <x:c r="F2" s="17">
        <x:f> SUM(B2:E2)</x:f>
        <x:v>28</x:v>
      </x:c>
    </x:row>
    <x:row r="3">
      <x:c r="A3" s="15" t="s">
        <x:v>21</x:v>
      </x:c>
      <x:c r="B3" s="16">
        <x:v>12</x:v>
      </x:c>
      <x:c r="C3" s="16">
        <x:v>7</x:v>
      </x:c>
      <x:c r="D3" s="16">
        <x:v>5</x:v>
      </x:c>
      <x:c r="E3" s="16">
        <x:v>4</x:v>
      </x:c>
      <x:c r="F3" s="17">
        <x:f t="shared" ref="F3:F7" si="0"> SUM(B3:E3)</x:f>
        <x:v>28</x:v>
      </x:c>
    </x:row>
    <x:row r="4">
      <x:c r="A4" s="15" t="s">
        <x:v>22</x:v>
      </x:c>
      <x:c r="B4" s="16">
        <x:v>10</x:v>
      </x:c>
      <x:c r="C4" s="16">
        <x:v>10</x:v>
      </x:c>
      <x:c r="D4" s="16">
        <x:v>3</x:v>
      </x:c>
      <x:c r="E4" s="16">
        <x:v>2</x:v>
      </x:c>
      <x:c r="F4" s="17">
        <x:f t="shared" si="0"/>
        <x:v>25</x:v>
      </x:c>
    </x:row>
    <x:row r="5">
      <x:c r="A5" s="15" t="s">
        <x:v>23</x:v>
      </x:c>
      <x:c r="B5" s="16">
        <x:v>4</x:v>
      </x:c>
      <x:c r="C5" s="16">
        <x:v>3</x:v>
      </x:c>
      <x:c r="D5" s="16">
        <x:v>2</x:v>
      </x:c>
      <x:c r="E5" s="16">
        <x:v>5</x:v>
      </x:c>
      <x:c r="F5" s="17">
        <x:f t="shared" si="0"/>
        <x:v>14</x:v>
      </x:c>
    </x:row>
    <x:row r="6">
      <x:c r="A6" s="15" t="s">
        <x:v>24</x:v>
      </x:c>
      <x:c r="B6" s="16">
        <x:v>2</x:v>
      </x:c>
      <x:c r="C6" s="16">
        <x:v>10</x:v>
      </x:c>
      <x:c r="D6" s="16">
        <x:v>4</x:v>
      </x:c>
      <x:c r="E6" s="16">
        <x:v>1</x:v>
      </x:c>
      <x:c r="F6" s="17">
        <x:f t="shared" si="0"/>
        <x:v>17</x:v>
      </x:c>
    </x:row>
    <x:row r="7">
      <x:c r="A7" s="15" t="s">
        <x:v>25</x:v>
      </x:c>
      <x:c r="B7" s="16">
        <x:v>3</x:v>
      </x:c>
      <x:c r="C7" s="16">
        <x:v>3</x:v>
      </x:c>
      <x:c r="D7" s="16">
        <x:v>2</x:v>
      </x:c>
      <x:c r="E7" s="16">
        <x:v>4</x:v>
      </x:c>
      <x:c r="F7" s="17">
        <x:f t="shared" si="0"/>
        <x:v>12</x:v>
      </x:c>
    </x:row>
    <x:row r="8">
      <x:c r="A8" s="18" t="s">
        <x:v>19</x:v>
      </x:c>
      <x:c r="B8" s="19">
        <x:f> SUM(B2:B7)</x:f>
        <x:v>45</x:v>
      </x:c>
      <x:c r="C8" s="19">
        <x:f t="shared" ref="C8:E8" si="1"> SUM(C2:C7)</x:f>
        <x:v>39</x:v>
      </x:c>
      <x:c r="D8" s="19">
        <x:f t="shared" si="1"/>
        <x:v>21</x:v>
      </x:c>
      <x:c r="E8" s="19">
        <x:f t="shared" si="1"/>
        <x:v>19</x:v>
      </x:c>
      <x:c r="F8" s="20">
        <x:f> SUM(F2:F7)</x:f>
        <x:v>124</x:v>
      </x:c>
    </x:row>
    <x:row r="11">
      <x:c r="A11" s="21" t="s">
        <x:v>26</x:v>
      </x:c>
      <x:c r="H11" s="21" t="s">
        <x:v>27</x:v>
      </x:c>
    </x:row>
    <x:row r="13">
      <x:c r="A13" s="22" t="s">
        <x:v>28</x:v>
      </x:c>
      <x:c r="B13" s="23" t="s">
        <x:v>29</x:v>
      </x:c>
      <x:c r="C13" s="23" t="s">
        <x:v>30</x:v>
      </x:c>
      <x:c r="D13" s="24" t="s">
        <x:v>31</x:v>
      </x:c>
      <x:c r="E13" s="15" t="s">
        <x:v>32</x:v>
      </x:c>
      <x:c r="H13" s="34" t="s">
        <x:v>33</x:v>
      </x:c>
      <x:c r="I13" s="32" t="s">
        <x:v>29</x:v>
      </x:c>
      <x:c r="J13" s="25" t="s">
        <x:v>34</x:v>
      </x:c>
    </x:row>
    <x:row r="14">
      <x:c r="A14" s="15" t="s">
        <x:v>20</x:v>
      </x:c>
      <x:c r="B14" s="31">
        <x:v>28</x:v>
      </x:c>
      <x:c r="C14" s="26">
        <x:v>4</x:v>
      </x:c>
      <x:c r="D14" s="26">
        <x:v>24</x:v>
      </x:c>
      <x:c r="E14" s="26">
        <x:f> D14^2</x:f>
        <x:v>576</x:v>
      </x:c>
      <x:c r="H14" s="27">
        <x:v>0</x:v>
      </x:c>
      <x:c r="I14" s="33">
        <x:v>45</x:v>
      </x:c>
      <x:c r="J14" s="28">
        <x:f> H14^2</x:f>
        <x:v>0</x:v>
      </x:c>
    </x:row>
    <x:row r="15">
      <x:c r="A15" s="15" t="s">
        <x:v>21</x:v>
      </x:c>
      <x:c r="B15" s="31">
        <x:v>28</x:v>
      </x:c>
      <x:c r="C15" s="26">
        <x:v>4</x:v>
      </x:c>
      <x:c r="D15" s="26">
        <x:v>28</x:v>
      </x:c>
      <x:c r="E15" s="26">
        <x:f t="shared" ref="E15:E19" si="2"> D15^2</x:f>
        <x:v>784</x:v>
      </x:c>
      <x:c r="H15" s="27">
        <x:v>1</x:v>
      </x:c>
      <x:c r="I15" s="33">
        <x:v>39</x:v>
      </x:c>
      <x:c r="J15" s="28">
        <x:f t="shared" ref="J15:J17" si="3"> H15^2</x:f>
        <x:v>1</x:v>
      </x:c>
    </x:row>
    <x:row r="16">
      <x:c r="A16" s="15" t="s">
        <x:v>22</x:v>
      </x:c>
      <x:c r="B16" s="31">
        <x:v>25</x:v>
      </x:c>
      <x:c r="C16" s="26">
        <x:v>8</x:v>
      </x:c>
      <x:c r="D16" s="26">
        <x:v>34</x:v>
      </x:c>
      <x:c r="E16" s="26">
        <x:f t="shared" si="2"/>
        <x:v>1156</x:v>
      </x:c>
      <x:c r="H16" s="27">
        <x:v>2</x:v>
      </x:c>
      <x:c r="I16" s="33">
        <x:v>21</x:v>
      </x:c>
      <x:c r="J16" s="28">
        <x:f t="shared" si="3"/>
        <x:v>4</x:v>
      </x:c>
    </x:row>
    <x:row r="17">
      <x:c r="A17" s="15" t="s">
        <x:v>23</x:v>
      </x:c>
      <x:c r="B17" s="31">
        <x:v>14</x:v>
      </x:c>
      <x:c r="C17" s="26">
        <x:v>8</x:v>
      </x:c>
      <x:c r="D17" s="26">
        <x:v>42</x:v>
      </x:c>
      <x:c r="E17" s="26">
        <x:f t="shared" si="2"/>
        <x:v>1764</x:v>
      </x:c>
      <x:c r="H17" s="27">
        <x:v>3</x:v>
      </x:c>
      <x:c r="I17" s="33">
        <x:v>19</x:v>
      </x:c>
      <x:c r="J17" s="35">
        <x:f t="shared" si="3"/>
        <x:v>9</x:v>
      </x:c>
    </x:row>
    <x:row r="18">
      <x:c r="A18" s="15" t="s">
        <x:v>24</x:v>
      </x:c>
      <x:c r="B18" s="31">
        <x:v>17</x:v>
      </x:c>
      <x:c r="C18" s="26">
        <x:v>10</x:v>
      </x:c>
      <x:c r="D18" s="26">
        <x:v>51</x:v>
      </x:c>
      <x:c r="E18" s="26">
        <x:f t="shared" si="2"/>
        <x:v>2601</x:v>
      </x:c>
      <x:c r="H18" s="18" t="s">
        <x:v>19</x:v>
      </x:c>
      <x:c r="I18" s="20">
        <x:f> SUM(I14:I17)</x:f>
        <x:v>124</x:v>
      </x:c>
      <x:c r="J18" s="16"/>
    </x:row>
    <x:row r="19">
      <x:c r="A19" s="15" t="s">
        <x:v>25</x:v>
      </x:c>
      <x:c r="B19" s="31">
        <x:v>12</x:v>
      </x:c>
      <x:c r="C19" s="26">
        <x:v>6</x:v>
      </x:c>
      <x:c r="D19" s="26">
        <x:v>59</x:v>
      </x:c>
      <x:c r="E19" s="26">
        <x:f t="shared" si="2"/>
        <x:v>3481</x:v>
      </x:c>
    </x:row>
    <x:row r="20">
      <x:c r="A20" s="18" t="s">
        <x:v>19</x:v>
      </x:c>
      <x:c r="B20" s="29">
        <x:f> SUM(B14:B19)</x:f>
        <x:v>124</x:v>
      </x:c>
    </x:row>
    <x:row r="22">
      <x:c r="A22" s="30" t="s">
        <x:v>35</x:v>
      </x:c>
      <x:c r="B22" s="11">
        <x:f> SUMPRODUCT(B14:B19, D14:D19)/B20</x:f>
        <x:v>36.04032258064516</x:v>
      </x:c>
      <x:c r="H22" s="30" t="s">
        <x:v>36</x:v>
      </x:c>
      <x:c r="I22" s="11">
        <x:f> SUMPRODUCT(H14:H17,I14:I17)/I18</x:f>
        <x:v>1.1129032258064515</x:v>
      </x:c>
    </x:row>
    <x:row r="23">
      <x:c r="A23" s="30" t="s">
        <x:v>37</x:v>
      </x:c>
      <x:c r="B23" s="11">
        <x:f> SQRT(SUMPRODUCT(B14:B19,E14:E19)/B20 - B22^2)</x:f>
        <x:v>11.570540451835194</x:v>
      </x:c>
      <x:c r="H23" s="30" t="s">
        <x:v>38</x:v>
      </x:c>
      <x:c r="I23" s="11">
        <x:f> SQRT(SUMPRODUCT(I14:I17, J14:J17)/I18 - I22^2)</x:f>
        <x:v>1.0641494969810765</x:v>
      </x:c>
    </x:row>
    <x:row r="26">
      <x:c r="A26" s="21" t="s">
        <x:v>39</x:v>
      </x:c>
    </x:row>
    <x:row r="28">
      <x:c r="A28" s="36" t="s">
        <x:v>40</x:v>
      </x:c>
      <x:c r="B28" s="36" t="s">
        <x:v>41</x:v>
      </x:c>
      <x:c r="C28" s="37" t="s">
        <x:v>42</x:v>
      </x:c>
    </x:row>
    <x:row r="29">
      <x:c r="A29" s="38">
        <x:v>24</x:v>
      </x:c>
      <x:c r="B29" s="38">
        <x:v>0</x:v>
      </x:c>
      <x:c r="C29" s="39">
        <x:v>14</x:v>
      </x:c>
    </x:row>
    <x:row r="30">
      <x:c r="A30" s="38">
        <x:v>24</x:v>
      </x:c>
      <x:c r="B30" s="38">
        <x:v>1</x:v>
      </x:c>
      <x:c r="C30" s="39">
        <x:v>6</x:v>
      </x:c>
    </x:row>
    <x:row r="31">
      <x:c r="A31" s="38">
        <x:v>24</x:v>
      </x:c>
      <x:c r="B31" s="38">
        <x:v>2</x:v>
      </x:c>
      <x:c r="C31" s="39">
        <x:v>5</x:v>
      </x:c>
    </x:row>
    <x:row r="32">
      <x:c r="A32" s="38">
        <x:v>24</x:v>
      </x:c>
      <x:c r="B32" s="38">
        <x:v>3</x:v>
      </x:c>
      <x:c r="C32" s="39">
        <x:v>3</x:v>
      </x:c>
    </x:row>
    <x:row r="33">
      <x:c r="A33" s="38">
        <x:v>28</x:v>
      </x:c>
      <x:c r="B33" s="38">
        <x:v>0</x:v>
      </x:c>
      <x:c r="C33" s="39">
        <x:v>12</x:v>
      </x:c>
    </x:row>
    <x:row r="34">
      <x:c r="A34" s="38">
        <x:v>28</x:v>
      </x:c>
      <x:c r="B34" s="38">
        <x:v>1</x:v>
      </x:c>
      <x:c r="C34" s="39">
        <x:v>7</x:v>
      </x:c>
    </x:row>
    <x:row r="35">
      <x:c r="A35" s="38">
        <x:v>28</x:v>
      </x:c>
      <x:c r="B35" s="38">
        <x:v>2</x:v>
      </x:c>
      <x:c r="C35" s="39">
        <x:v>5</x:v>
      </x:c>
    </x:row>
    <x:row r="36">
      <x:c r="A36" s="38">
        <x:v>28</x:v>
      </x:c>
      <x:c r="B36" s="38">
        <x:v>3</x:v>
      </x:c>
      <x:c r="C36" s="39">
        <x:v>4</x:v>
      </x:c>
    </x:row>
    <x:row r="37">
      <x:c r="A37" s="38">
        <x:v>34</x:v>
      </x:c>
      <x:c r="B37" s="38">
        <x:v>0</x:v>
      </x:c>
      <x:c r="C37" s="39">
        <x:v>10</x:v>
      </x:c>
    </x:row>
    <x:row r="38">
      <x:c r="A38" s="38">
        <x:v>34</x:v>
      </x:c>
      <x:c r="B38" s="38">
        <x:v>1</x:v>
      </x:c>
      <x:c r="C38" s="39">
        <x:v>10</x:v>
      </x:c>
    </x:row>
    <x:row r="39">
      <x:c r="A39" s="38">
        <x:v>34</x:v>
      </x:c>
      <x:c r="B39" s="38">
        <x:v>2</x:v>
      </x:c>
      <x:c r="C39" s="39">
        <x:v>3</x:v>
      </x:c>
    </x:row>
    <x:row r="40">
      <x:c r="A40" s="38">
        <x:v>34</x:v>
      </x:c>
      <x:c r="B40" s="38">
        <x:v>3</x:v>
      </x:c>
      <x:c r="C40" s="39">
        <x:v>2</x:v>
      </x:c>
    </x:row>
    <x:row r="41">
      <x:c r="A41" s="38">
        <x:v>42</x:v>
      </x:c>
      <x:c r="B41" s="38">
        <x:v>0</x:v>
      </x:c>
      <x:c r="C41" s="39">
        <x:v>4</x:v>
      </x:c>
    </x:row>
    <x:row r="42">
      <x:c r="A42" s="38">
        <x:v>42</x:v>
      </x:c>
      <x:c r="B42" s="38">
        <x:v>1</x:v>
      </x:c>
      <x:c r="C42" s="39">
        <x:v>3</x:v>
      </x:c>
    </x:row>
    <x:row r="43">
      <x:c r="A43" s="38">
        <x:v>42</x:v>
      </x:c>
      <x:c r="B43" s="38">
        <x:v>2</x:v>
      </x:c>
      <x:c r="C43" s="39">
        <x:v>2</x:v>
      </x:c>
    </x:row>
    <x:row r="44">
      <x:c r="A44" s="38">
        <x:v>42</x:v>
      </x:c>
      <x:c r="B44" s="38">
        <x:v>3</x:v>
      </x:c>
      <x:c r="C44" s="39">
        <x:v>5</x:v>
      </x:c>
    </x:row>
    <x:row r="45">
      <x:c r="A45" s="38">
        <x:v>51</x:v>
      </x:c>
      <x:c r="B45" s="38">
        <x:v>0</x:v>
      </x:c>
      <x:c r="C45" s="39">
        <x:v>2</x:v>
      </x:c>
    </x:row>
    <x:row r="46">
      <x:c r="A46" s="38">
        <x:v>51</x:v>
      </x:c>
      <x:c r="B46" s="38">
        <x:v>1</x:v>
      </x:c>
      <x:c r="C46" s="39">
        <x:v>10</x:v>
      </x:c>
    </x:row>
    <x:row r="47">
      <x:c r="A47" s="38">
        <x:v>51</x:v>
      </x:c>
      <x:c r="B47" s="38">
        <x:v>2</x:v>
      </x:c>
      <x:c r="C47" s="39">
        <x:v>4</x:v>
      </x:c>
    </x:row>
    <x:row r="48">
      <x:c r="A48" s="38">
        <x:v>51</x:v>
      </x:c>
      <x:c r="B48" s="38">
        <x:v>3</x:v>
      </x:c>
      <x:c r="C48" s="39">
        <x:v>1</x:v>
      </x:c>
    </x:row>
    <x:row r="49">
      <x:c r="A49" s="38">
        <x:v>59</x:v>
      </x:c>
      <x:c r="B49" s="38">
        <x:v>0</x:v>
      </x:c>
      <x:c r="C49" s="39">
        <x:v>3</x:v>
      </x:c>
    </x:row>
    <x:row r="50">
      <x:c r="A50" s="38">
        <x:v>59</x:v>
      </x:c>
      <x:c r="B50" s="38">
        <x:v>1</x:v>
      </x:c>
      <x:c r="C50" s="39">
        <x:v>3</x:v>
      </x:c>
    </x:row>
    <x:row r="51">
      <x:c r="A51" s="38">
        <x:v>59</x:v>
      </x:c>
      <x:c r="B51" s="38">
        <x:v>2</x:v>
      </x:c>
      <x:c r="C51" s="39">
        <x:v>2</x:v>
      </x:c>
    </x:row>
    <x:row r="52">
      <x:c r="A52" s="38">
        <x:v>59</x:v>
      </x:c>
      <x:c r="B52" s="38">
        <x:v>3</x:v>
      </x:c>
      <x:c r="C52" s="39">
        <x:v>4</x:v>
      </x:c>
    </x:row>
    <x:row r="55">
      <x:c r="A55" s="30" t="s">
        <x:v>43</x:v>
      </x:c>
      <x:c r="B55">
        <x:f> SUMPRODUCT(A29:A52, B29:B52, C29:C52)/F8 - (B22*I22)</x:f>
        <x:v>2.438995837669097</x:v>
      </x:c>
    </x:row>
    <x:row r="56">
      <x:c r="A56" s="30" t="s">
        <x:v>44</x:v>
      </x:c>
      <x:c r="B56">
        <x:f>B55/(B23*I23)</x:f>
        <x:v>0.19808645054433766</x:v>
      </x:c>
    </x:row>
  </x:sheetData>
  <x:pageMargins left="0.7" right="0.7" top="0.75" bottom="0.75" header="0.3" footer="0.3"/>
  <x:drawing xmlns:r="http://schemas.openxmlformats.org/officeDocument/2006/relationships" r:id="Rbfe88da4a88c4a84"/>
</x:worksheet>
</file>

<file path=xl/worksheets/sheet4.xml><?xml version="1.0" encoding="utf-8"?>
<x:worksheet xmlns:x="http://schemas.openxmlformats.org/spreadsheetml/2006/main">
  <x:sheetFormatPr defaultColWidth="10.90625" defaultRowHeight="14.5"/>
  <x:cols>
    <x:col min="1" max="1" width="25.6328125" customWidth="1"/>
    <x:col min="2" max="2" width="20.36328125" customWidth="1"/>
    <x:col min="3" max="3" width="17.6328125" customWidth="1"/>
    <x:col min="7" max="7" width="15.6328125" customWidth="1"/>
    <x:col min="8" max="8" width="20.36328125" customWidth="1"/>
  </x:cols>
  <x:sheetData>
    <x:row r="1">
      <x:c r="A1" s="12" t="s">
        <x:v>45</x:v>
      </x:c>
      <x:c r="B1" s="13">
        <x:v>20</x:v>
      </x:c>
      <x:c r="C1" s="13">
        <x:v>25</x:v>
      </x:c>
      <x:c r="D1" s="44">
        <x:v>30</x:v>
      </x:c>
      <x:c r="E1" s="46" t="s">
        <x:v>19</x:v>
      </x:c>
    </x:row>
    <x:row r="2">
      <x:c r="A2" s="15">
        <x:v>4</x:v>
      </x:c>
      <x:c r="B2" s="16">
        <x:v>1</x:v>
      </x:c>
      <x:c r="C2" s="16">
        <x:v>5</x:v>
      </x:c>
      <x:c r="D2" s="45">
        <x:v>25</x:v>
      </x:c>
      <x:c r="E2" s="47">
        <x:f> SUM(B2:D2)</x:f>
        <x:v>31</x:v>
      </x:c>
    </x:row>
    <x:row r="3">
      <x:c r="A3" s="15">
        <x:v>5</x:v>
      </x:c>
      <x:c r="B3" s="16">
        <x:v>8</x:v>
      </x:c>
      <x:c r="C3" s="16">
        <x:v>20</x:v>
      </x:c>
      <x:c r="D3" s="45">
        <x:v>2</x:v>
      </x:c>
      <x:c r="E3" s="47">
        <x:f>SUM(B3:D3)</x:f>
        <x:v>30</x:v>
      </x:c>
    </x:row>
    <x:row r="4">
      <x:c r="A4" s="15">
        <x:v>6</x:v>
      </x:c>
      <x:c r="B4" s="16">
        <x:v>30</x:v>
      </x:c>
      <x:c r="C4" s="16">
        <x:v>7</x:v>
      </x:c>
      <x:c r="D4" s="45">
        <x:v>2</x:v>
      </x:c>
      <x:c r="E4" s="47">
        <x:f>SUM(B4:D4)</x:f>
        <x:v>39</x:v>
      </x:c>
    </x:row>
    <x:row r="5">
      <x:c r="A5" s="46" t="s">
        <x:v>19</x:v>
      </x:c>
      <x:c r="B5" s="47">
        <x:f> SUM(B2:B4)</x:f>
        <x:v>39</x:v>
      </x:c>
      <x:c r="C5" s="47">
        <x:f> SUM(C2:C4)</x:f>
        <x:v>32</x:v>
      </x:c>
      <x:c r="D5" s="47">
        <x:f>SUM(D2:D4)</x:f>
        <x:v>29</x:v>
      </x:c>
      <x:c r="E5" s="43">
        <x:f> SUM(B5:D5)</x:f>
        <x:v>100</x:v>
      </x:c>
    </x:row>
    <x:row r="8">
      <x:c r="A8" s="21" t="s">
        <x:v>26</x:v>
      </x:c>
      <x:c r="G8" s="21" t="s">
        <x:v>27</x:v>
      </x:c>
    </x:row>
    <x:row r="9">
      <x:c r="A9" s="22" t="s">
        <x:v>46</x:v>
      </x:c>
      <x:c r="B9" s="15" t="s">
        <x:v>47</x:v>
      </x:c>
      <x:c r="C9" s="24" t="s">
        <x:v>48</x:v>
      </x:c>
      <x:c r="G9" s="25" t="s">
        <x:v>49</x:v>
      </x:c>
      <x:c r="H9" s="25" t="s">
        <x:v>47</x:v>
      </x:c>
      <x:c r="I9" s="48" t="s">
        <x:v>50</x:v>
      </x:c>
    </x:row>
    <x:row r="10">
      <x:c r="A10" s="40">
        <x:v>4</x:v>
      </x:c>
      <x:c r="B10" s="26">
        <x:v>31</x:v>
      </x:c>
      <x:c r="C10" s="50">
        <x:f> A10^2</x:f>
        <x:v>16</x:v>
      </x:c>
      <x:c r="G10" s="42">
        <x:v>20</x:v>
      </x:c>
      <x:c r="H10" s="28">
        <x:v>39</x:v>
      </x:c>
      <x:c r="I10" s="49">
        <x:f> G10^2</x:f>
        <x:v>400</x:v>
      </x:c>
    </x:row>
    <x:row r="11">
      <x:c r="A11" s="40">
        <x:v>5</x:v>
      </x:c>
      <x:c r="B11" s="26">
        <x:v>30</x:v>
      </x:c>
      <x:c r="C11" s="50">
        <x:f t="shared" ref="C11:C12" si="0"> A11^2</x:f>
        <x:v>25</x:v>
      </x:c>
      <x:c r="G11" s="42">
        <x:v>25</x:v>
      </x:c>
      <x:c r="H11" s="28">
        <x:v>32</x:v>
      </x:c>
      <x:c r="I11" s="49">
        <x:f t="shared" ref="I11:I12" si="1"> G11^2</x:f>
        <x:v>625</x:v>
      </x:c>
    </x:row>
    <x:row r="12">
      <x:c r="A12" s="40">
        <x:v>6</x:v>
      </x:c>
      <x:c r="B12" s="26">
        <x:v>39</x:v>
      </x:c>
      <x:c r="C12" s="50">
        <x:f t="shared" si="0"/>
        <x:v>36</x:v>
      </x:c>
      <x:c r="G12" s="42">
        <x:v>30</x:v>
      </x:c>
      <x:c r="H12" s="28">
        <x:v>29</x:v>
      </x:c>
      <x:c r="I12" s="49">
        <x:f t="shared" si="1"/>
        <x:v>900</x:v>
      </x:c>
    </x:row>
    <x:row r="13">
      <x:c r="A13" s="18" t="s">
        <x:v>19</x:v>
      </x:c>
      <x:c r="B13" s="43">
        <x:f> SUM(B10:B12)</x:f>
        <x:v>100</x:v>
      </x:c>
      <x:c r="G13" s="41" t="s">
        <x:v>19</x:v>
      </x:c>
      <x:c r="H13" s="43">
        <x:f> SUM(H10:H12)</x:f>
        <x:v>100</x:v>
      </x:c>
    </x:row>
    <x:row r="16">
      <x:c r="A16" s="30" t="s">
        <x:v>35</x:v>
      </x:c>
      <x:c r="B16" s="11">
        <x:f> SUMPRODUCT(A10:A12,B10:B12)/B13</x:f>
        <x:v>5.08</x:v>
      </x:c>
      <x:c r="G16" s="30" t="s">
        <x:v>36</x:v>
      </x:c>
      <x:c r="H16" s="11">
        <x:f> SUMPRODUCT(G10:G12,H10:H12)/H13</x:f>
        <x:v>24.5</x:v>
      </x:c>
    </x:row>
    <x:row r="17">
      <x:c r="A17" s="30" t="s">
        <x:v>51</x:v>
      </x:c>
      <x:c r="B17" s="11">
        <x:f> SQRT(SUMPRODUCT(C10:C12,B10:B12)/B13 - B16^2)</x:f>
        <x:v>0.8328265125462806</x:v>
      </x:c>
      <x:c r="G17" s="30" t="s">
        <x:v>52</x:v>
      </x:c>
      <x:c r="H17" s="11">
        <x:f> SQRT(SUMPRODUCT(I10:I12,H10:H12)/H13 - H16^2)</x:f>
        <x:v>4.0926763859362252</x:v>
      </x:c>
    </x:row>
    <x:row r="20">
      <x:c r="A20" s="21" t="s">
        <x:v>39</x:v>
      </x:c>
    </x:row>
    <x:row r="22">
      <x:c r="A22" s="36" t="s">
        <x:v>53</x:v>
      </x:c>
      <x:c r="B22" s="36" t="s">
        <x:v>54</x:v>
      </x:c>
      <x:c r="C22" s="37" t="s">
        <x:v>55</x:v>
      </x:c>
    </x:row>
    <x:row r="23">
      <x:c r="A23" s="38">
        <x:v>4</x:v>
      </x:c>
      <x:c r="B23" s="38">
        <x:v>20</x:v>
      </x:c>
      <x:c r="C23" s="39">
        <x:v>1</x:v>
      </x:c>
    </x:row>
    <x:row r="24">
      <x:c r="A24" s="38">
        <x:v>4</x:v>
      </x:c>
      <x:c r="B24" s="38">
        <x:v>25</x:v>
      </x:c>
      <x:c r="C24" s="39">
        <x:v>5</x:v>
      </x:c>
    </x:row>
    <x:row r="25">
      <x:c r="A25" s="38">
        <x:v>4</x:v>
      </x:c>
      <x:c r="B25" s="38">
        <x:v>30</x:v>
      </x:c>
      <x:c r="C25" s="39">
        <x:v>25</x:v>
      </x:c>
    </x:row>
    <x:row r="26">
      <x:c r="A26" s="38">
        <x:v>5</x:v>
      </x:c>
      <x:c r="B26" s="38">
        <x:v>20</x:v>
      </x:c>
      <x:c r="C26" s="39">
        <x:v>8</x:v>
      </x:c>
    </x:row>
    <x:row r="27">
      <x:c r="A27" s="38">
        <x:v>5</x:v>
      </x:c>
      <x:c r="B27" s="38">
        <x:v>25</x:v>
      </x:c>
      <x:c r="C27" s="39">
        <x:v>20</x:v>
      </x:c>
    </x:row>
    <x:row r="28">
      <x:c r="A28" s="38">
        <x:v>5</x:v>
      </x:c>
      <x:c r="B28" s="38">
        <x:v>30</x:v>
      </x:c>
      <x:c r="C28" s="39">
        <x:v>2</x:v>
      </x:c>
    </x:row>
    <x:row r="29">
      <x:c r="A29" s="38">
        <x:v>6</x:v>
      </x:c>
      <x:c r="B29" s="38">
        <x:v>20</x:v>
      </x:c>
      <x:c r="C29" s="39">
        <x:v>30</x:v>
      </x:c>
    </x:row>
    <x:row r="30">
      <x:c r="A30" s="38">
        <x:v>6</x:v>
      </x:c>
      <x:c r="B30" s="38">
        <x:v>25</x:v>
      </x:c>
      <x:c r="C30" s="39">
        <x:v>7</x:v>
      </x:c>
    </x:row>
    <x:row r="31">
      <x:c r="A31" s="38">
        <x:v>6</x:v>
      </x:c>
      <x:c r="B31" s="38">
        <x:v>30</x:v>
      </x:c>
      <x:c r="C31" s="39">
        <x:v>2</x:v>
      </x:c>
    </x:row>
    <x:row r="34">
      <x:c r="A34" s="30" t="s">
        <x:v>43</x:v>
      </x:c>
      <x:c r="B34" s="11">
        <x:f> SUMPRODUCT(A23:A31,B23:B31,C23:C31)/E5 - (B16*H16)</x:f>
        <x:v>-2.5600000000000023</x:v>
      </x:c>
    </x:row>
    <x:row r="35">
      <x:c r="A35" s="30" t="s">
        <x:v>44</x:v>
      </x:c>
      <x:c r="B35" s="11">
        <x:f> B34/(B17*H17)</x:f>
        <x:v>-0.7510658530692772</x:v>
      </x:c>
    </x:row>
  </x:sheetData>
  <x:pageMargins left="0.7" right="0.7" top="0.75" bottom="0.75" header="0.3" footer="0.3"/>
  <x:drawing xmlns:r="http://schemas.openxmlformats.org/officeDocument/2006/relationships" r:id="R4bf60ee180224b25"/>
</x:worksheet>
</file>