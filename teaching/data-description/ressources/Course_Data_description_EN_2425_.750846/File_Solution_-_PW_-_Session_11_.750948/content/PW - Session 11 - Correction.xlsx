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11\EN\"/>
    </mc:Choice>
  </mc:AlternateContent>
  <xr:revisionPtr revIDLastSave="0" documentId="13_ncr:1_{0189C624-2D5D-476C-8ECC-88AE1B704F54}" xr6:coauthVersionLast="47" xr6:coauthVersionMax="47" xr10:uidLastSave="{00000000-0000-0000-0000-000000000000}"/>
  <bookViews>
    <workbookView xWindow="-110" yWindow="-110" windowWidth="19420" windowHeight="10420" xr2:uid="{F752002F-16E5-4530-A768-8949A9F7B5A3}"/>
  </bookViews>
  <sheets>
    <sheet name="Recipe Monday vs Saturday" sheetId="1" r:id="rId1"/>
    <sheet name="Shoe size Vs IQ" sheetId="2" r:id="rId2"/>
    <sheet name="Age Vs Stress" sheetId="3" r:id="rId3"/>
    <sheet name="Power vs Dur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3" l="1"/>
  <c r="B35" i="4"/>
  <c r="B34" i="4"/>
  <c r="H17" i="4"/>
  <c r="B17" i="4"/>
  <c r="I11" i="4"/>
  <c r="I12" i="4"/>
  <c r="I10" i="4"/>
  <c r="C11" i="4"/>
  <c r="C12" i="4"/>
  <c r="C10" i="4"/>
  <c r="H16" i="4"/>
  <c r="B16" i="4"/>
  <c r="H13" i="4"/>
  <c r="B13" i="4"/>
  <c r="E4" i="4"/>
  <c r="E3" i="4"/>
  <c r="E2" i="4"/>
  <c r="D5" i="4"/>
  <c r="C5" i="4"/>
  <c r="E5" i="4" s="1"/>
  <c r="B5" i="4"/>
  <c r="B55" i="3" l="1"/>
  <c r="I23" i="3"/>
  <c r="J15" i="3"/>
  <c r="J16" i="3"/>
  <c r="J17" i="3"/>
  <c r="J14" i="3"/>
  <c r="B23" i="3"/>
  <c r="E15" i="3"/>
  <c r="E16" i="3"/>
  <c r="E17" i="3"/>
  <c r="E18" i="3"/>
  <c r="E19" i="3"/>
  <c r="E14" i="3"/>
  <c r="I22" i="3"/>
  <c r="I18" i="3"/>
  <c r="B22" i="3"/>
  <c r="B20" i="3"/>
  <c r="C8" i="3"/>
  <c r="D8" i="3"/>
  <c r="E8" i="3"/>
  <c r="B8" i="3"/>
  <c r="F3" i="3"/>
  <c r="F4" i="3"/>
  <c r="F5" i="3"/>
  <c r="F6" i="3"/>
  <c r="F7" i="3"/>
  <c r="F2" i="3"/>
  <c r="F8" i="3" s="1"/>
  <c r="B30" i="2"/>
  <c r="B29" i="2"/>
  <c r="B28" i="2"/>
  <c r="B27" i="2"/>
  <c r="B26" i="2"/>
  <c r="B24" i="2"/>
  <c r="B2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23" i="2"/>
  <c r="B23" i="2"/>
  <c r="C22" i="2"/>
  <c r="B22" i="2"/>
  <c r="B28" i="1"/>
  <c r="B27" i="1"/>
  <c r="B26" i="1"/>
  <c r="B25" i="1"/>
  <c r="B2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5" i="1"/>
  <c r="C21" i="1"/>
  <c r="B21" i="1"/>
  <c r="C20" i="1"/>
  <c r="B20" i="1"/>
  <c r="D22" i="2" l="1"/>
  <c r="D20" i="1"/>
  <c r="B22" i="1" s="1"/>
  <c r="B24" i="1" s="1"/>
</calcChain>
</file>

<file path=xl/sharedStrings.xml><?xml version="1.0" encoding="utf-8"?>
<sst xmlns="http://schemas.openxmlformats.org/spreadsheetml/2006/main" count="88" uniqueCount="56">
  <si>
    <t>xi * yi</t>
  </si>
  <si>
    <t>Covariance (formule)</t>
  </si>
  <si>
    <t>x (Age)   /  y (Stess)</t>
  </si>
  <si>
    <t>Total</t>
  </si>
  <si>
    <t>[22;26[</t>
  </si>
  <si>
    <t>[26;30[</t>
  </si>
  <si>
    <t>[30;38[</t>
  </si>
  <si>
    <t>[38;46[</t>
  </si>
  <si>
    <t>[46;56[</t>
  </si>
  <si>
    <t>[56;62[</t>
  </si>
  <si>
    <t>Table 1 :</t>
  </si>
  <si>
    <t>Table 2 :</t>
  </si>
  <si>
    <t>x (Age)</t>
  </si>
  <si>
    <t>y (Stress)</t>
  </si>
  <si>
    <t>ci^2</t>
  </si>
  <si>
    <t>yi^2</t>
  </si>
  <si>
    <t>Table 3 :</t>
  </si>
  <si>
    <t>xi (Age)</t>
  </si>
  <si>
    <t>yi (Stress)</t>
  </si>
  <si>
    <t>Covariance</t>
  </si>
  <si>
    <t>x^2</t>
  </si>
  <si>
    <t>y^2</t>
  </si>
  <si>
    <t>Week</t>
  </si>
  <si>
    <t>Monday Recipe (xi)</t>
  </si>
  <si>
    <t>Saturday Recipe (yi)</t>
  </si>
  <si>
    <t>Mean</t>
  </si>
  <si>
    <t>Standard deviation</t>
  </si>
  <si>
    <t>Covariance (Excel)</t>
  </si>
  <si>
    <t>Correlation coefficient (Formule)</t>
  </si>
  <si>
    <t>Correlation coefficient (Excel)</t>
  </si>
  <si>
    <t>Calculation of the slope (a)</t>
  </si>
  <si>
    <t>Calculation of the ordinate at the origin (b)</t>
  </si>
  <si>
    <t>Coefficient of determination (r^2)</t>
  </si>
  <si>
    <t>Regression line : y = 0.70166 x + 625.1208</t>
  </si>
  <si>
    <t>Students</t>
  </si>
  <si>
    <t xml:space="preserve">Shoe size (xi) </t>
  </si>
  <si>
    <t>IQ (yi)</t>
  </si>
  <si>
    <t>Regression line : y = 10.67069 x + 3.8365</t>
  </si>
  <si>
    <t>Correlation coefficient</t>
  </si>
  <si>
    <t>n_i,j (cross-numbers)</t>
  </si>
  <si>
    <r>
      <t>Mean (</t>
    </r>
    <r>
      <rPr>
        <b/>
        <sz val="11"/>
        <color theme="1"/>
        <rFont val="Calibri"/>
        <family val="2"/>
      </rPr>
      <t>x ̅)</t>
    </r>
  </si>
  <si>
    <t>Standard-deviation (s_x)</t>
  </si>
  <si>
    <t>Mean (y ̅)</t>
  </si>
  <si>
    <t>Standard deviation (s_y)</t>
  </si>
  <si>
    <t>ci (Center)</t>
  </si>
  <si>
    <t>ai (Width)</t>
  </si>
  <si>
    <t>ni (Absolute frequency)</t>
  </si>
  <si>
    <t>x (Power)   /  y (Duration)</t>
  </si>
  <si>
    <t xml:space="preserve">x (Power)  </t>
  </si>
  <si>
    <t>ni (absolute frequency)</t>
  </si>
  <si>
    <t>y (Duration)</t>
  </si>
  <si>
    <t>Standard-deviation (s_y)</t>
  </si>
  <si>
    <t>Standard deviation (s_x)</t>
  </si>
  <si>
    <t>xi (Power)</t>
  </si>
  <si>
    <t>yj (Duration)</t>
  </si>
  <si>
    <t>n_i,j (cross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</si>
</sst>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4" borderId="0" xfId="0" applyFill="1"/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1" fillId="7" borderId="1" xfId="0" applyFont="1" applyFill="1" applyBorder="1"/>
    <xf numFmtId="0" fontId="0" fillId="0" borderId="1" xfId="0" applyBorder="1"/>
    <xf numFmtId="0" fontId="0" fillId="6" borderId="2" xfId="0" applyFill="1" applyBorder="1"/>
    <xf numFmtId="0" fontId="1" fillId="6" borderId="0" xfId="0" applyFont="1" applyFill="1"/>
    <xf numFmtId="0" fontId="0" fillId="6" borderId="3" xfId="0" applyFill="1" applyBorder="1"/>
    <xf numFmtId="0" fontId="0" fillId="8" borderId="0" xfId="0" applyFill="1"/>
    <xf numFmtId="0" fontId="1" fillId="0" borderId="0" xfId="0" applyFont="1"/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0" fillId="7" borderId="1" xfId="0" applyFill="1" applyBorder="1"/>
    <xf numFmtId="0" fontId="1" fillId="5" borderId="1" xfId="0" applyFont="1" applyFill="1" applyBorder="1" applyAlignment="1">
      <alignment horizontal="left" vertical="top"/>
    </xf>
    <xf numFmtId="0" fontId="0" fillId="5" borderId="1" xfId="0" applyFill="1" applyBorder="1"/>
    <xf numFmtId="0" fontId="0" fillId="8" borderId="0" xfId="0" applyFill="1" applyAlignment="1">
      <alignment vertical="center"/>
    </xf>
    <xf numFmtId="0" fontId="1" fillId="4" borderId="0" xfId="0" applyFont="1" applyFill="1"/>
    <xf numFmtId="0" fontId="0" fillId="7" borderId="2" xfId="0" applyFill="1" applyBorder="1"/>
    <xf numFmtId="0" fontId="1" fillId="5" borderId="4" xfId="0" applyFont="1" applyFill="1" applyBorder="1"/>
    <xf numFmtId="0" fontId="0" fillId="5" borderId="4" xfId="0" applyFill="1" applyBorder="1"/>
    <xf numFmtId="0" fontId="1" fillId="5" borderId="0" xfId="0" applyFont="1" applyFill="1"/>
    <xf numFmtId="0" fontId="0" fillId="5" borderId="5" xfId="0" applyFill="1" applyBorder="1"/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/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5" borderId="1" xfId="0" applyFont="1" applyFill="1" applyBorder="1" applyAlignment="1">
      <alignment horizontal="left"/>
    </xf>
    <xf numFmtId="0" fontId="0" fillId="8" borderId="1" xfId="0" applyFill="1" applyBorder="1"/>
    <xf numFmtId="0" fontId="1" fillId="5" borderId="4" xfId="0" applyFont="1" applyFill="1" applyBorder="1" applyAlignment="1">
      <alignment vertical="center" wrapText="1"/>
    </xf>
    <xf numFmtId="0" fontId="0" fillId="0" borderId="4" xfId="0" applyBorder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 i="0" u="none" strike="noStrike" baseline="0">
                <a:effectLst/>
              </a:rPr>
              <a:t>Recipe Monday vs Saturday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29838145231846"/>
          <c:y val="0.18300925925925926"/>
          <c:w val="0.79668285214348211"/>
          <c:h val="0.61706802274715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63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'Recipe Monday vs Saturday'!$B$5:$B$19</c:f>
              <c:numCache>
                <c:formatCode>General</c:formatCode>
                <c:ptCount val="15"/>
                <c:pt idx="0">
                  <c:v>1629</c:v>
                </c:pt>
                <c:pt idx="1">
                  <c:v>1620</c:v>
                </c:pt>
                <c:pt idx="2">
                  <c:v>1619</c:v>
                </c:pt>
                <c:pt idx="3">
                  <c:v>1622</c:v>
                </c:pt>
                <c:pt idx="4">
                  <c:v>1623</c:v>
                </c:pt>
                <c:pt idx="5">
                  <c:v>1624</c:v>
                </c:pt>
                <c:pt idx="6">
                  <c:v>1635</c:v>
                </c:pt>
                <c:pt idx="7">
                  <c:v>1618</c:v>
                </c:pt>
                <c:pt idx="8">
                  <c:v>1655</c:v>
                </c:pt>
                <c:pt idx="9">
                  <c:v>1670</c:v>
                </c:pt>
                <c:pt idx="10">
                  <c:v>1615</c:v>
                </c:pt>
                <c:pt idx="11">
                  <c:v>1612</c:v>
                </c:pt>
                <c:pt idx="12">
                  <c:v>1631</c:v>
                </c:pt>
                <c:pt idx="13">
                  <c:v>1674</c:v>
                </c:pt>
                <c:pt idx="14">
                  <c:v>1628</c:v>
                </c:pt>
              </c:numCache>
            </c:numRef>
          </c:xVal>
          <c:yVal>
            <c:numRef>
              <c:f>'Recipe Monday vs Saturday'!$C$5:$C$19</c:f>
              <c:numCache>
                <c:formatCode>General</c:formatCode>
                <c:ptCount val="15"/>
                <c:pt idx="0">
                  <c:v>1767</c:v>
                </c:pt>
                <c:pt idx="1">
                  <c:v>1752</c:v>
                </c:pt>
                <c:pt idx="2">
                  <c:v>1754</c:v>
                </c:pt>
                <c:pt idx="3">
                  <c:v>1756</c:v>
                </c:pt>
                <c:pt idx="4">
                  <c:v>1763</c:v>
                </c:pt>
                <c:pt idx="5">
                  <c:v>1764</c:v>
                </c:pt>
                <c:pt idx="6">
                  <c:v>1778</c:v>
                </c:pt>
                <c:pt idx="7">
                  <c:v>1753</c:v>
                </c:pt>
                <c:pt idx="8">
                  <c:v>1788</c:v>
                </c:pt>
                <c:pt idx="9">
                  <c:v>1785</c:v>
                </c:pt>
                <c:pt idx="10">
                  <c:v>1756</c:v>
                </c:pt>
                <c:pt idx="11">
                  <c:v>1782</c:v>
                </c:pt>
                <c:pt idx="12">
                  <c:v>1774</c:v>
                </c:pt>
                <c:pt idx="13">
                  <c:v>1811</c:v>
                </c:pt>
                <c:pt idx="14">
                  <c:v>1767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F-4ACB-A8A8-6CC3431F31A3}"/>
            </c:ext>
          </c:extLst>
        </c:ser>
        <c:ser>
          <c:idx val="1"/>
          <c:order val="1"/>
          <c:tx>
            <c:v>CENTRE DE GRAVITE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'Recipe Monday vs Saturday'!$B$20</c:f>
              <c:numCache>
                <c:formatCode>General</c:formatCode>
                <c:ptCount val="1"/>
                <c:pt idx="0">
                  <c:v>1631.6666666666667</c:v>
                </c:pt>
              </c:numCache>
            </c:numRef>
          </c:xVal>
          <c:yVal>
            <c:numRef>
              <c:f>'Recipe Monday vs Saturday'!$C$20</c:f>
              <c:numCache>
                <c:formatCode>General</c:formatCode>
                <c:ptCount val="1"/>
                <c:pt idx="0">
                  <c:v>1770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7C0-44CC-946B-CB0D8E230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271568"/>
        <c:axId val="1940271984"/>
      </c:scatterChart>
      <c:valAx>
        <c:axId val="194027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Monday Recipe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0271984"/>
        <c:crosses val="autoZero"/>
        <c:crossBetween val="midCat"/>
      </c:valAx>
      <c:valAx>
        <c:axId val="194027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Saturday Recipe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027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Shoe size Vs IQ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041557305336832"/>
                  <c:y val="3.77077865266841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'Shoe size Vs IQ'!$B$2:$B$21</c:f>
              <c:numCache>
                <c:formatCode>General</c:formatCode>
                <c:ptCount val="20"/>
                <c:pt idx="0">
                  <c:v>31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33</c:v>
                </c:pt>
                <c:pt idx="6">
                  <c:v>34</c:v>
                </c:pt>
                <c:pt idx="7">
                  <c:v>38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31</c:v>
                </c:pt>
                <c:pt idx="12">
                  <c:v>38</c:v>
                </c:pt>
                <c:pt idx="13">
                  <c:v>35</c:v>
                </c:pt>
                <c:pt idx="14">
                  <c:v>35</c:v>
                </c:pt>
                <c:pt idx="15">
                  <c:v>32</c:v>
                </c:pt>
                <c:pt idx="16">
                  <c:v>36</c:v>
                </c:pt>
                <c:pt idx="17">
                  <c:v>30</c:v>
                </c:pt>
                <c:pt idx="18">
                  <c:v>35</c:v>
                </c:pt>
                <c:pt idx="19">
                  <c:v>32</c:v>
                </c:pt>
              </c:numCache>
            </c:numRef>
          </c:xVal>
          <c:yVal>
            <c:numRef>
              <c:f>'Shoe size Vs IQ'!$C$2:$C$21</c:f>
              <c:numCache>
                <c:formatCode>General</c:formatCode>
                <c:ptCount val="20"/>
                <c:pt idx="0">
                  <c:v>50</c:v>
                </c:pt>
                <c:pt idx="1">
                  <c:v>49</c:v>
                </c:pt>
                <c:pt idx="2">
                  <c:v>55</c:v>
                </c:pt>
                <c:pt idx="3">
                  <c:v>52</c:v>
                </c:pt>
                <c:pt idx="4">
                  <c:v>56</c:v>
                </c:pt>
                <c:pt idx="5">
                  <c:v>63</c:v>
                </c:pt>
                <c:pt idx="6">
                  <c:v>65</c:v>
                </c:pt>
                <c:pt idx="7">
                  <c:v>143</c:v>
                </c:pt>
                <c:pt idx="8">
                  <c:v>69</c:v>
                </c:pt>
                <c:pt idx="9">
                  <c:v>80</c:v>
                </c:pt>
                <c:pt idx="10">
                  <c:v>110</c:v>
                </c:pt>
                <c:pt idx="11">
                  <c:v>52</c:v>
                </c:pt>
                <c:pt idx="12">
                  <c:v>150</c:v>
                </c:pt>
                <c:pt idx="13">
                  <c:v>75</c:v>
                </c:pt>
                <c:pt idx="14">
                  <c:v>121</c:v>
                </c:pt>
                <c:pt idx="15">
                  <c:v>64</c:v>
                </c:pt>
                <c:pt idx="16">
                  <c:v>95</c:v>
                </c:pt>
                <c:pt idx="17">
                  <c:v>50</c:v>
                </c:pt>
                <c:pt idx="18">
                  <c:v>77</c:v>
                </c:pt>
                <c:pt idx="19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2-4D04-A798-E89187E72343}"/>
            </c:ext>
          </c:extLst>
        </c:ser>
        <c:ser>
          <c:idx val="1"/>
          <c:order val="1"/>
          <c:tx>
            <c:v>Centre de gravité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'Shoe size Vs IQ'!$B$22</c:f>
              <c:numCache>
                <c:formatCode>General</c:formatCode>
                <c:ptCount val="1"/>
                <c:pt idx="0">
                  <c:v>33.700000000000003</c:v>
                </c:pt>
              </c:numCache>
            </c:numRef>
          </c:xVal>
          <c:yVal>
            <c:numRef>
              <c:f>'Shoe size Vs IQ'!$C$22</c:f>
              <c:numCache>
                <c:formatCode>General</c:formatCode>
                <c:ptCount val="1"/>
                <c:pt idx="0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12-4D04-A798-E89187E72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781472"/>
        <c:axId val="1231782304"/>
      </c:scatterChart>
      <c:valAx>
        <c:axId val="1231781472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Shoe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1782304"/>
        <c:crosses val="autoZero"/>
        <c:crossBetween val="midCat"/>
      </c:valAx>
      <c:valAx>
        <c:axId val="12317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178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Age Vs Stress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'Age Vs Stress'!$A$29:$A$52</c:f>
              <c:numCache>
                <c:formatCode>General</c:formatCode>
                <c:ptCount val="24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</c:numCache>
            </c:numRef>
          </c:xVal>
          <c:yVal>
            <c:numRef>
              <c:f>'Age Vs Stress'!$B$29:$B$52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yVal>
          <c:bubbleSize>
            <c:numRef>
              <c:f>'Age Vs Stress'!$C$29:$C$52</c:f>
              <c:numCache>
                <c:formatCode>General</c:formatCode>
                <c:ptCount val="24"/>
                <c:pt idx="0">
                  <c:v>14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12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10</c:v>
                </c:pt>
                <c:pt idx="9">
                  <c:v>10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10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D99C-4ACB-88BE-9341F647D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036002895"/>
        <c:axId val="2036016207"/>
      </c:bubbleChart>
      <c:valAx>
        <c:axId val="203600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6016207"/>
        <c:crosses val="autoZero"/>
        <c:crossBetween val="midCat"/>
      </c:valAx>
      <c:valAx>
        <c:axId val="203601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Level of stress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600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Vs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ubbleChart>
        <c:varyColors val="0"/>
        <c:ser>
          <c:idx val="0"/>
          <c:order val="0"/>
          <c:tx>
            <c:v>s1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'Power vs Duration'!$A$23:$A$31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</c:numCache>
            </c:numRef>
          </c:xVal>
          <c:yVal>
            <c:numRef>
              <c:f>'Power vs Duration'!$B$23:$B$31</c:f>
              <c:numCache>
                <c:formatCode>General</c:formatCode>
                <c:ptCount val="9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</c:numCache>
            </c:numRef>
          </c:yVal>
          <c:bubbleSize>
            <c:numRef>
              <c:f>'Power vs Duration'!$C$23:$C$31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25</c:v>
                </c:pt>
                <c:pt idx="3">
                  <c:v>8</c:v>
                </c:pt>
                <c:pt idx="4">
                  <c:v>20</c:v>
                </c:pt>
                <c:pt idx="5">
                  <c:v>2</c:v>
                </c:pt>
                <c:pt idx="6">
                  <c:v>30</c:v>
                </c:pt>
                <c:pt idx="7">
                  <c:v>7</c:v>
                </c:pt>
                <c:pt idx="8">
                  <c:v>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9EA1-48D4-A581-0D5FBCE95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007568959"/>
        <c:axId val="2007561471"/>
      </c:bubbleChart>
      <c:valAx>
        <c:axId val="2007568959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561471"/>
        <c:crosses val="autoZero"/>
        <c:crossBetween val="midCat"/>
      </c:valAx>
      <c:valAx>
        <c:axId val="2007561471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56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727075</xdr:colOff>
      <xdr:row>5</xdr:row>
      <xdr:rowOff>73025</xdr:rowOff>
    </xdr:from>
    <xdr:to>
      <xdr:col>10</xdr:col>
      <xdr:colOff>727075</xdr:colOff>
      <xdr:row>20</xdr:row>
      <xdr:rowOff>53975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4A2839-B962-4BD1-9D78-FB33179BB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644525</xdr:colOff>
      <xdr:row>7</xdr:row>
      <xdr:rowOff>15875</xdr:rowOff>
    </xdr:from>
    <xdr:to>
      <xdr:col>10</xdr:col>
      <xdr:colOff>644525</xdr:colOff>
      <xdr:row>21</xdr:row>
      <xdr:rowOff>92075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8CF12C9-348A-4771-975B-AA909C4D5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250825</xdr:colOff>
      <xdr:row>33</xdr:row>
      <xdr:rowOff>92075</xdr:rowOff>
    </xdr:from>
    <xdr:to>
      <xdr:col>10</xdr:col>
      <xdr:colOff>682625</xdr:colOff>
      <xdr:row>48</xdr:row>
      <xdr:rowOff>73025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479EC6C-30BB-416C-9E08-2D08E7944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244475</xdr:colOff>
      <xdr:row>20</xdr:row>
      <xdr:rowOff>79375</xdr:rowOff>
    </xdr:from>
    <xdr:to>
      <xdr:col>10</xdr:col>
      <xdr:colOff>676275</xdr:colOff>
      <xdr:row>35</xdr:row>
      <xdr:rowOff>60325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8ACC560-3386-46FD-BC22-EA5BA4C4D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AAB1-CC30-4817-92CC-ACE9F5A45262}">
  <dimension ref="A4:F28"/>
  <sheetViews>
    <sheetView tabSelected="1" workbookViewId="0"/>
  </sheetViews>
  <sheetFormatPr defaultColWidth="10.90625" defaultRowHeight="14.5" x14ac:dyDescent="0.35"/>
  <cols>
    <col min="1" max="1" width="35.6328125" style="2" customWidth="1"/>
    <col min="2" max="2" width="15.6328125" style="2" customWidth="1"/>
    <col min="3" max="3" width="16.6328125" style="2" customWidth="1"/>
    <col min="4" max="4" width="10.90625" style="6"/>
  </cols>
  <sheetData>
    <row r="4" spans="1:4" x14ac:dyDescent="0.35">
      <c r="A4" s="1" t="s">
        <v>22</v>
      </c>
      <c r="B4" s="1" t="s">
        <v>23</v>
      </c>
      <c r="C4" s="1" t="s">
        <v>24</v>
      </c>
      <c r="D4" s="5" t="s">
        <v>0</v>
      </c>
    </row>
    <row r="5" spans="1:4" x14ac:dyDescent="0.35">
      <c r="A5" s="1">
        <v>1</v>
      </c>
      <c r="B5" s="2">
        <v>1629</v>
      </c>
      <c r="C5" s="2">
        <v>1767</v>
      </c>
      <c r="D5" s="6">
        <f xml:space="preserve"> B5*C5</f>
        <v>2878443</v>
      </c>
    </row>
    <row r="6" spans="1:4" x14ac:dyDescent="0.35">
      <c r="A6" s="1">
        <v>2</v>
      </c>
      <c r="B6" s="2">
        <v>1620</v>
      </c>
      <c r="C6" s="2">
        <v>1752</v>
      </c>
      <c r="D6" s="6">
        <f t="shared" ref="D6:D19" si="0" xml:space="preserve"> B6*C6</f>
        <v>2838240</v>
      </c>
    </row>
    <row r="7" spans="1:4" x14ac:dyDescent="0.35">
      <c r="A7" s="1">
        <v>3</v>
      </c>
      <c r="B7" s="2">
        <v>1619</v>
      </c>
      <c r="C7" s="2">
        <v>1754</v>
      </c>
      <c r="D7" s="6">
        <f t="shared" si="0"/>
        <v>2839726</v>
      </c>
    </row>
    <row r="8" spans="1:4" x14ac:dyDescent="0.35">
      <c r="A8" s="1">
        <v>4</v>
      </c>
      <c r="B8" s="2">
        <v>1622</v>
      </c>
      <c r="C8" s="2">
        <v>1756</v>
      </c>
      <c r="D8" s="6">
        <f t="shared" si="0"/>
        <v>2848232</v>
      </c>
    </row>
    <row r="9" spans="1:4" x14ac:dyDescent="0.35">
      <c r="A9" s="1">
        <v>5</v>
      </c>
      <c r="B9" s="2">
        <v>1623</v>
      </c>
      <c r="C9" s="2">
        <v>1763</v>
      </c>
      <c r="D9" s="6">
        <f t="shared" si="0"/>
        <v>2861349</v>
      </c>
    </row>
    <row r="10" spans="1:4" x14ac:dyDescent="0.35">
      <c r="A10" s="1">
        <v>6</v>
      </c>
      <c r="B10" s="2">
        <v>1624</v>
      </c>
      <c r="C10" s="2">
        <v>1764</v>
      </c>
      <c r="D10" s="6">
        <f t="shared" si="0"/>
        <v>2864736</v>
      </c>
    </row>
    <row r="11" spans="1:4" x14ac:dyDescent="0.35">
      <c r="A11" s="1">
        <v>7</v>
      </c>
      <c r="B11" s="2">
        <v>1635</v>
      </c>
      <c r="C11" s="2">
        <v>1778</v>
      </c>
      <c r="D11" s="6">
        <f t="shared" si="0"/>
        <v>2907030</v>
      </c>
    </row>
    <row r="12" spans="1:4" x14ac:dyDescent="0.35">
      <c r="A12" s="1">
        <v>8</v>
      </c>
      <c r="B12" s="2">
        <v>1618</v>
      </c>
      <c r="C12" s="2">
        <v>1753</v>
      </c>
      <c r="D12" s="6">
        <f t="shared" si="0"/>
        <v>2836354</v>
      </c>
    </row>
    <row r="13" spans="1:4" x14ac:dyDescent="0.35">
      <c r="A13" s="1">
        <v>9</v>
      </c>
      <c r="B13" s="2">
        <v>1655</v>
      </c>
      <c r="C13" s="2">
        <v>1788</v>
      </c>
      <c r="D13" s="6">
        <f t="shared" si="0"/>
        <v>2959140</v>
      </c>
    </row>
    <row r="14" spans="1:4" x14ac:dyDescent="0.35">
      <c r="A14" s="1">
        <v>10</v>
      </c>
      <c r="B14" s="2">
        <v>1670</v>
      </c>
      <c r="C14" s="2">
        <v>1785</v>
      </c>
      <c r="D14" s="6">
        <f t="shared" si="0"/>
        <v>2980950</v>
      </c>
    </row>
    <row r="15" spans="1:4" x14ac:dyDescent="0.35">
      <c r="A15" s="1">
        <v>11</v>
      </c>
      <c r="B15" s="2">
        <v>1615</v>
      </c>
      <c r="C15" s="2">
        <v>1756</v>
      </c>
      <c r="D15" s="6">
        <f t="shared" si="0"/>
        <v>2835940</v>
      </c>
    </row>
    <row r="16" spans="1:4" x14ac:dyDescent="0.35">
      <c r="A16" s="1">
        <v>12</v>
      </c>
      <c r="B16" s="2">
        <v>1612</v>
      </c>
      <c r="C16" s="2">
        <v>1782</v>
      </c>
      <c r="D16" s="6">
        <f t="shared" si="0"/>
        <v>2872584</v>
      </c>
    </row>
    <row r="17" spans="1:6" x14ac:dyDescent="0.35">
      <c r="A17" s="1">
        <v>13</v>
      </c>
      <c r="B17" s="2">
        <v>1631</v>
      </c>
      <c r="C17" s="2">
        <v>1774</v>
      </c>
      <c r="D17" s="6">
        <f t="shared" si="0"/>
        <v>2893394</v>
      </c>
    </row>
    <row r="18" spans="1:6" x14ac:dyDescent="0.35">
      <c r="A18" s="1">
        <v>14</v>
      </c>
      <c r="B18" s="2">
        <v>1674</v>
      </c>
      <c r="C18" s="2">
        <v>1811</v>
      </c>
      <c r="D18" s="6">
        <f t="shared" si="0"/>
        <v>3031614</v>
      </c>
    </row>
    <row r="19" spans="1:6" x14ac:dyDescent="0.35">
      <c r="A19" s="1">
        <v>15</v>
      </c>
      <c r="B19" s="2">
        <v>1628</v>
      </c>
      <c r="C19" s="2">
        <v>1767</v>
      </c>
      <c r="D19" s="6">
        <f t="shared" si="0"/>
        <v>2876676</v>
      </c>
    </row>
    <row r="20" spans="1:6" x14ac:dyDescent="0.35">
      <c r="A20" s="4" t="s">
        <v>25</v>
      </c>
      <c r="B20" s="3">
        <f xml:space="preserve"> AVERAGE(B5:B19)</f>
        <v>1631.6666666666667</v>
      </c>
      <c r="C20" s="3">
        <f xml:space="preserve"> AVERAGE(C5:C19)</f>
        <v>1770</v>
      </c>
      <c r="D20" s="7">
        <f xml:space="preserve"> AVERAGE(D5:D19)</f>
        <v>2888293.8666666667</v>
      </c>
    </row>
    <row r="21" spans="1:6" x14ac:dyDescent="0.35">
      <c r="A21" s="4" t="s">
        <v>26</v>
      </c>
      <c r="B21" s="3">
        <f xml:space="preserve"> STDEVP(B5:B19)</f>
        <v>18.642841938812751</v>
      </c>
      <c r="C21" s="3">
        <f>STDEVP(C5:C19)</f>
        <v>15.954100831238762</v>
      </c>
    </row>
    <row r="22" spans="1:6" x14ac:dyDescent="0.35">
      <c r="A22" s="4" t="s">
        <v>1</v>
      </c>
      <c r="B22" s="3">
        <f xml:space="preserve"> D20 - (B20*C20)</f>
        <v>243.86666666669771</v>
      </c>
    </row>
    <row r="23" spans="1:6" x14ac:dyDescent="0.35">
      <c r="A23" s="4" t="s">
        <v>27</v>
      </c>
      <c r="B23" s="3">
        <f xml:space="preserve"> COVAR(B5:B19,C5:C19)</f>
        <v>243.86666666666667</v>
      </c>
    </row>
    <row r="24" spans="1:6" x14ac:dyDescent="0.35">
      <c r="A24" s="4" t="s">
        <v>28</v>
      </c>
      <c r="B24" s="3">
        <f xml:space="preserve"> B22/(B21*C21)</f>
        <v>0.81991341488104652</v>
      </c>
    </row>
    <row r="25" spans="1:6" x14ac:dyDescent="0.35">
      <c r="A25" s="4" t="s">
        <v>29</v>
      </c>
      <c r="B25" s="3">
        <f xml:space="preserve"> CORREL(B5:B19, C5:C19)</f>
        <v>0.81991341488094216</v>
      </c>
    </row>
    <row r="26" spans="1:6" x14ac:dyDescent="0.35">
      <c r="A26" s="4" t="s">
        <v>30</v>
      </c>
      <c r="B26" s="3">
        <f xml:space="preserve"> B24*(C21/B21)</f>
        <v>0.70166240409216085</v>
      </c>
    </row>
    <row r="27" spans="1:6" x14ac:dyDescent="0.35">
      <c r="A27" s="4" t="s">
        <v>31</v>
      </c>
      <c r="B27" s="3">
        <f xml:space="preserve"> C20 - (B26*B20)</f>
        <v>625.12084398962406</v>
      </c>
      <c r="C27" s="3"/>
      <c r="D27" s="7" t="s">
        <v>33</v>
      </c>
      <c r="E27" s="8"/>
      <c r="F27" s="8"/>
    </row>
    <row r="28" spans="1:6" x14ac:dyDescent="0.35">
      <c r="A28" s="4" t="s">
        <v>32</v>
      </c>
      <c r="B28" s="3">
        <f xml:space="preserve"> B24^2</f>
        <v>0.67225800790189916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82FA-232C-475C-A7A3-620A9BAB6B64}">
  <dimension ref="A1:F30"/>
  <sheetViews>
    <sheetView topLeftCell="A9" workbookViewId="0">
      <selection sqref="A1:C21"/>
    </sheetView>
  </sheetViews>
  <sheetFormatPr defaultColWidth="10.90625" defaultRowHeight="14.5" x14ac:dyDescent="0.35"/>
  <cols>
    <col min="1" max="1" width="35.6328125" customWidth="1"/>
    <col min="2" max="4" width="15.6328125" customWidth="1"/>
  </cols>
  <sheetData>
    <row r="1" spans="1:4" x14ac:dyDescent="0.35">
      <c r="A1" s="9" t="s">
        <v>34</v>
      </c>
      <c r="B1" s="9" t="s">
        <v>35</v>
      </c>
      <c r="C1" s="9" t="s">
        <v>36</v>
      </c>
      <c r="D1" s="9" t="s">
        <v>0</v>
      </c>
    </row>
    <row r="2" spans="1:4" ht="15" x14ac:dyDescent="0.35">
      <c r="A2" s="9">
        <v>1</v>
      </c>
      <c r="B2" s="10">
        <v>31</v>
      </c>
      <c r="C2" s="10">
        <v>50</v>
      </c>
      <c r="D2">
        <f xml:space="preserve"> B2*C2</f>
        <v>1550</v>
      </c>
    </row>
    <row r="3" spans="1:4" ht="15" x14ac:dyDescent="0.35">
      <c r="A3" s="9">
        <v>2</v>
      </c>
      <c r="B3" s="10">
        <v>30</v>
      </c>
      <c r="C3" s="10">
        <v>49</v>
      </c>
      <c r="D3">
        <f t="shared" ref="D3:D21" si="0" xml:space="preserve"> B3*C3</f>
        <v>1470</v>
      </c>
    </row>
    <row r="4" spans="1:4" ht="15" x14ac:dyDescent="0.35">
      <c r="A4" s="9">
        <v>3</v>
      </c>
      <c r="B4" s="10">
        <v>31</v>
      </c>
      <c r="C4" s="10">
        <v>55</v>
      </c>
      <c r="D4">
        <f t="shared" si="0"/>
        <v>1705</v>
      </c>
    </row>
    <row r="5" spans="1:4" ht="15" x14ac:dyDescent="0.35">
      <c r="A5" s="9">
        <v>4</v>
      </c>
      <c r="B5" s="10">
        <v>32</v>
      </c>
      <c r="C5" s="10">
        <v>52</v>
      </c>
      <c r="D5">
        <f t="shared" si="0"/>
        <v>1664</v>
      </c>
    </row>
    <row r="6" spans="1:4" ht="15" x14ac:dyDescent="0.35">
      <c r="A6" s="9">
        <v>5</v>
      </c>
      <c r="B6" s="10">
        <v>33</v>
      </c>
      <c r="C6" s="10">
        <v>56</v>
      </c>
      <c r="D6">
        <f t="shared" si="0"/>
        <v>1848</v>
      </c>
    </row>
    <row r="7" spans="1:4" ht="15" x14ac:dyDescent="0.35">
      <c r="A7" s="9">
        <v>6</v>
      </c>
      <c r="B7" s="10">
        <v>33</v>
      </c>
      <c r="C7" s="10">
        <v>63</v>
      </c>
      <c r="D7">
        <f t="shared" si="0"/>
        <v>2079</v>
      </c>
    </row>
    <row r="8" spans="1:4" ht="15" x14ac:dyDescent="0.35">
      <c r="A8" s="9">
        <v>7</v>
      </c>
      <c r="B8" s="10">
        <v>34</v>
      </c>
      <c r="C8" s="10">
        <v>65</v>
      </c>
      <c r="D8">
        <f t="shared" si="0"/>
        <v>2210</v>
      </c>
    </row>
    <row r="9" spans="1:4" ht="15" x14ac:dyDescent="0.35">
      <c r="A9" s="9">
        <v>8</v>
      </c>
      <c r="B9" s="10">
        <v>38</v>
      </c>
      <c r="C9" s="10">
        <v>143</v>
      </c>
      <c r="D9">
        <f t="shared" si="0"/>
        <v>5434</v>
      </c>
    </row>
    <row r="10" spans="1:4" ht="15" x14ac:dyDescent="0.35">
      <c r="A10" s="9">
        <v>9</v>
      </c>
      <c r="B10" s="10">
        <v>35</v>
      </c>
      <c r="C10" s="10">
        <v>69</v>
      </c>
      <c r="D10">
        <f t="shared" si="0"/>
        <v>2415</v>
      </c>
    </row>
    <row r="11" spans="1:4" ht="15" x14ac:dyDescent="0.35">
      <c r="A11" s="9">
        <v>10</v>
      </c>
      <c r="B11" s="10">
        <v>36</v>
      </c>
      <c r="C11" s="10">
        <v>80</v>
      </c>
      <c r="D11">
        <f t="shared" si="0"/>
        <v>2880</v>
      </c>
    </row>
    <row r="12" spans="1:4" ht="15" x14ac:dyDescent="0.35">
      <c r="A12" s="9">
        <v>11</v>
      </c>
      <c r="B12" s="10">
        <v>37</v>
      </c>
      <c r="C12" s="10">
        <v>110</v>
      </c>
      <c r="D12">
        <f t="shared" si="0"/>
        <v>4070</v>
      </c>
    </row>
    <row r="13" spans="1:4" ht="15" x14ac:dyDescent="0.35">
      <c r="A13" s="9">
        <v>12</v>
      </c>
      <c r="B13" s="10">
        <v>31</v>
      </c>
      <c r="C13" s="10">
        <v>52</v>
      </c>
      <c r="D13">
        <f t="shared" si="0"/>
        <v>1612</v>
      </c>
    </row>
    <row r="14" spans="1:4" ht="15" x14ac:dyDescent="0.35">
      <c r="A14" s="9">
        <v>13</v>
      </c>
      <c r="B14" s="10">
        <v>38</v>
      </c>
      <c r="C14" s="10">
        <v>150</v>
      </c>
      <c r="D14">
        <f t="shared" si="0"/>
        <v>5700</v>
      </c>
    </row>
    <row r="15" spans="1:4" ht="15" x14ac:dyDescent="0.35">
      <c r="A15" s="9">
        <v>14</v>
      </c>
      <c r="B15" s="10">
        <v>35</v>
      </c>
      <c r="C15" s="10">
        <v>75</v>
      </c>
      <c r="D15">
        <f t="shared" si="0"/>
        <v>2625</v>
      </c>
    </row>
    <row r="16" spans="1:4" ht="15" x14ac:dyDescent="0.35">
      <c r="A16" s="9">
        <v>15</v>
      </c>
      <c r="B16" s="10">
        <v>35</v>
      </c>
      <c r="C16" s="10">
        <v>121</v>
      </c>
      <c r="D16">
        <f t="shared" si="0"/>
        <v>4235</v>
      </c>
    </row>
    <row r="17" spans="1:6" ht="15" x14ac:dyDescent="0.35">
      <c r="A17" s="9">
        <v>16</v>
      </c>
      <c r="B17" s="10">
        <v>32</v>
      </c>
      <c r="C17" s="10">
        <v>64</v>
      </c>
      <c r="D17">
        <f t="shared" si="0"/>
        <v>2048</v>
      </c>
    </row>
    <row r="18" spans="1:6" ht="15" x14ac:dyDescent="0.35">
      <c r="A18" s="9">
        <v>17</v>
      </c>
      <c r="B18" s="10">
        <v>36</v>
      </c>
      <c r="C18" s="10">
        <v>95</v>
      </c>
      <c r="D18">
        <f t="shared" si="0"/>
        <v>3420</v>
      </c>
    </row>
    <row r="19" spans="1:6" ht="15" x14ac:dyDescent="0.35">
      <c r="A19" s="9">
        <v>18</v>
      </c>
      <c r="B19" s="10">
        <v>30</v>
      </c>
      <c r="C19" s="10">
        <v>50</v>
      </c>
      <c r="D19">
        <f t="shared" si="0"/>
        <v>1500</v>
      </c>
    </row>
    <row r="20" spans="1:6" ht="15" x14ac:dyDescent="0.35">
      <c r="A20" s="9">
        <v>19</v>
      </c>
      <c r="B20" s="10">
        <v>35</v>
      </c>
      <c r="C20" s="10">
        <v>77</v>
      </c>
      <c r="D20">
        <f t="shared" si="0"/>
        <v>2695</v>
      </c>
    </row>
    <row r="21" spans="1:6" ht="15" x14ac:dyDescent="0.35">
      <c r="A21" s="9">
        <v>20</v>
      </c>
      <c r="B21" s="10">
        <v>32</v>
      </c>
      <c r="C21" s="10">
        <v>55</v>
      </c>
      <c r="D21">
        <f t="shared" si="0"/>
        <v>1760</v>
      </c>
    </row>
    <row r="22" spans="1:6" x14ac:dyDescent="0.35">
      <c r="A22" s="4" t="s">
        <v>25</v>
      </c>
      <c r="B22" s="11">
        <f xml:space="preserve"> AVERAGE(B2:B21)</f>
        <v>33.700000000000003</v>
      </c>
      <c r="C22" s="11">
        <f xml:space="preserve"> AVERAGE(C2:C21)</f>
        <v>76.55</v>
      </c>
      <c r="D22" s="11">
        <f xml:space="preserve"> AVERAGE(D2:D21)</f>
        <v>2646</v>
      </c>
    </row>
    <row r="23" spans="1:6" x14ac:dyDescent="0.35">
      <c r="A23" s="4" t="s">
        <v>26</v>
      </c>
      <c r="B23" s="11">
        <f xml:space="preserve"> STDEVP(B2:B21)</f>
        <v>2.491987158875423</v>
      </c>
      <c r="C23" s="11">
        <f xml:space="preserve"> STDEVP(C2:C21)</f>
        <v>30.42774227575881</v>
      </c>
    </row>
    <row r="24" spans="1:6" x14ac:dyDescent="0.35">
      <c r="A24" s="4" t="s">
        <v>1</v>
      </c>
      <c r="B24" s="11">
        <f xml:space="preserve"> D22 - (B22*C22)</f>
        <v>66.264999999999873</v>
      </c>
    </row>
    <row r="25" spans="1:6" x14ac:dyDescent="0.35">
      <c r="A25" s="4" t="s">
        <v>27</v>
      </c>
      <c r="B25" s="11">
        <f xml:space="preserve"> COVAR(B2:B21, C2:C21)</f>
        <v>66.264999999999986</v>
      </c>
    </row>
    <row r="26" spans="1:6" x14ac:dyDescent="0.35">
      <c r="A26" s="4" t="s">
        <v>28</v>
      </c>
      <c r="B26" s="11">
        <f xml:space="preserve"> B24/(B23*C23)</f>
        <v>0.87391395243104542</v>
      </c>
    </row>
    <row r="27" spans="1:6" x14ac:dyDescent="0.35">
      <c r="A27" s="4" t="s">
        <v>29</v>
      </c>
      <c r="B27" s="11">
        <f xml:space="preserve"> CORREL(B2:B21, C2:C21)</f>
        <v>0.87391395243104697</v>
      </c>
    </row>
    <row r="28" spans="1:6" x14ac:dyDescent="0.35">
      <c r="A28" s="4" t="s">
        <v>30</v>
      </c>
      <c r="B28" s="11">
        <f xml:space="preserve"> (C23/B23)*B26</f>
        <v>10.670692431561971</v>
      </c>
      <c r="D28" s="11" t="s">
        <v>37</v>
      </c>
      <c r="E28" s="11"/>
      <c r="F28" s="11"/>
    </row>
    <row r="29" spans="1:6" x14ac:dyDescent="0.35">
      <c r="A29" s="4" t="s">
        <v>31</v>
      </c>
      <c r="B29" s="11">
        <f xml:space="preserve"> C23 - (B28*B23)</f>
        <v>3.8365137599972137</v>
      </c>
    </row>
    <row r="30" spans="1:6" x14ac:dyDescent="0.35">
      <c r="A30" s="4" t="s">
        <v>32</v>
      </c>
      <c r="B30" s="11">
        <f xml:space="preserve"> B26^2</f>
        <v>0.76372559625365155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D03D-58D4-4EA6-BE92-B0F3D7919565}">
  <dimension ref="A1:J56"/>
  <sheetViews>
    <sheetView workbookViewId="0"/>
  </sheetViews>
  <sheetFormatPr defaultColWidth="10.90625" defaultRowHeight="14.5" x14ac:dyDescent="0.35"/>
  <cols>
    <col min="1" max="1" width="25.6328125" customWidth="1"/>
    <col min="2" max="2" width="20.54296875" bestFit="1" customWidth="1"/>
    <col min="3" max="3" width="17.6328125" customWidth="1"/>
    <col min="8" max="8" width="15.6328125" customWidth="1"/>
    <col min="9" max="9" width="19.6328125" bestFit="1" customWidth="1"/>
  </cols>
  <sheetData>
    <row r="1" spans="1:10" ht="29" x14ac:dyDescent="0.35">
      <c r="A1" s="12" t="s">
        <v>2</v>
      </c>
      <c r="B1" s="13">
        <v>0</v>
      </c>
      <c r="C1" s="13">
        <v>1</v>
      </c>
      <c r="D1" s="13">
        <v>2</v>
      </c>
      <c r="E1" s="13">
        <v>3</v>
      </c>
      <c r="F1" s="14" t="s">
        <v>3</v>
      </c>
    </row>
    <row r="2" spans="1:10" x14ac:dyDescent="0.35">
      <c r="A2" s="15" t="s">
        <v>4</v>
      </c>
      <c r="B2" s="16">
        <v>14</v>
      </c>
      <c r="C2" s="16">
        <v>6</v>
      </c>
      <c r="D2" s="16">
        <v>5</v>
      </c>
      <c r="E2" s="16">
        <v>3</v>
      </c>
      <c r="F2" s="17">
        <f xml:space="preserve"> SUM(B2:E2)</f>
        <v>28</v>
      </c>
    </row>
    <row r="3" spans="1:10" x14ac:dyDescent="0.35">
      <c r="A3" s="15" t="s">
        <v>5</v>
      </c>
      <c r="B3" s="16">
        <v>12</v>
      </c>
      <c r="C3" s="16">
        <v>7</v>
      </c>
      <c r="D3" s="16">
        <v>5</v>
      </c>
      <c r="E3" s="16">
        <v>4</v>
      </c>
      <c r="F3" s="17">
        <f t="shared" ref="F3:F7" si="0" xml:space="preserve"> SUM(B3:E3)</f>
        <v>28</v>
      </c>
    </row>
    <row r="4" spans="1:10" x14ac:dyDescent="0.35">
      <c r="A4" s="15" t="s">
        <v>6</v>
      </c>
      <c r="B4" s="16">
        <v>10</v>
      </c>
      <c r="C4" s="16">
        <v>10</v>
      </c>
      <c r="D4" s="16">
        <v>3</v>
      </c>
      <c r="E4" s="16">
        <v>2</v>
      </c>
      <c r="F4" s="17">
        <f t="shared" si="0"/>
        <v>25</v>
      </c>
    </row>
    <row r="5" spans="1:10" x14ac:dyDescent="0.35">
      <c r="A5" s="15" t="s">
        <v>7</v>
      </c>
      <c r="B5" s="16">
        <v>4</v>
      </c>
      <c r="C5" s="16">
        <v>3</v>
      </c>
      <c r="D5" s="16">
        <v>2</v>
      </c>
      <c r="E5" s="16">
        <v>5</v>
      </c>
      <c r="F5" s="17">
        <f t="shared" si="0"/>
        <v>14</v>
      </c>
    </row>
    <row r="6" spans="1:10" x14ac:dyDescent="0.35">
      <c r="A6" s="15" t="s">
        <v>8</v>
      </c>
      <c r="B6" s="16">
        <v>2</v>
      </c>
      <c r="C6" s="16">
        <v>10</v>
      </c>
      <c r="D6" s="16">
        <v>4</v>
      </c>
      <c r="E6" s="16">
        <v>1</v>
      </c>
      <c r="F6" s="17">
        <f t="shared" si="0"/>
        <v>17</v>
      </c>
    </row>
    <row r="7" spans="1:10" x14ac:dyDescent="0.35">
      <c r="A7" s="15" t="s">
        <v>9</v>
      </c>
      <c r="B7" s="16">
        <v>3</v>
      </c>
      <c r="C7" s="16">
        <v>3</v>
      </c>
      <c r="D7" s="16">
        <v>2</v>
      </c>
      <c r="E7" s="16">
        <v>4</v>
      </c>
      <c r="F7" s="17">
        <f t="shared" si="0"/>
        <v>12</v>
      </c>
    </row>
    <row r="8" spans="1:10" x14ac:dyDescent="0.35">
      <c r="A8" s="18" t="s">
        <v>3</v>
      </c>
      <c r="B8" s="19">
        <f xml:space="preserve"> SUM(B2:B7)</f>
        <v>45</v>
      </c>
      <c r="C8" s="19">
        <f t="shared" ref="C8:E8" si="1" xml:space="preserve"> SUM(C2:C7)</f>
        <v>39</v>
      </c>
      <c r="D8" s="19">
        <f t="shared" si="1"/>
        <v>21</v>
      </c>
      <c r="E8" s="19">
        <f t="shared" si="1"/>
        <v>19</v>
      </c>
      <c r="F8" s="20">
        <f xml:space="preserve"> SUM(F2:F7)</f>
        <v>124</v>
      </c>
    </row>
    <row r="11" spans="1:10" x14ac:dyDescent="0.35">
      <c r="A11" s="21" t="s">
        <v>10</v>
      </c>
      <c r="H11" s="21" t="s">
        <v>11</v>
      </c>
    </row>
    <row r="13" spans="1:10" x14ac:dyDescent="0.35">
      <c r="A13" s="22" t="s">
        <v>12</v>
      </c>
      <c r="B13" s="23" t="s">
        <v>46</v>
      </c>
      <c r="C13" s="23" t="s">
        <v>45</v>
      </c>
      <c r="D13" s="24" t="s">
        <v>44</v>
      </c>
      <c r="E13" s="15" t="s">
        <v>14</v>
      </c>
      <c r="H13" s="34" t="s">
        <v>13</v>
      </c>
      <c r="I13" s="32" t="s">
        <v>46</v>
      </c>
      <c r="J13" s="25" t="s">
        <v>15</v>
      </c>
    </row>
    <row r="14" spans="1:10" x14ac:dyDescent="0.35">
      <c r="A14" s="15" t="s">
        <v>4</v>
      </c>
      <c r="B14" s="31">
        <v>28</v>
      </c>
      <c r="C14" s="26">
        <v>4</v>
      </c>
      <c r="D14" s="26">
        <v>24</v>
      </c>
      <c r="E14" s="26">
        <f xml:space="preserve"> D14^2</f>
        <v>576</v>
      </c>
      <c r="H14" s="27">
        <v>0</v>
      </c>
      <c r="I14" s="33">
        <v>45</v>
      </c>
      <c r="J14" s="28">
        <f xml:space="preserve"> H14^2</f>
        <v>0</v>
      </c>
    </row>
    <row r="15" spans="1:10" x14ac:dyDescent="0.35">
      <c r="A15" s="15" t="s">
        <v>5</v>
      </c>
      <c r="B15" s="31">
        <v>28</v>
      </c>
      <c r="C15" s="26">
        <v>4</v>
      </c>
      <c r="D15" s="26">
        <v>28</v>
      </c>
      <c r="E15" s="26">
        <f t="shared" ref="E15:E19" si="2" xml:space="preserve"> D15^2</f>
        <v>784</v>
      </c>
      <c r="H15" s="27">
        <v>1</v>
      </c>
      <c r="I15" s="33">
        <v>39</v>
      </c>
      <c r="J15" s="28">
        <f t="shared" ref="J15:J17" si="3" xml:space="preserve"> H15^2</f>
        <v>1</v>
      </c>
    </row>
    <row r="16" spans="1:10" x14ac:dyDescent="0.35">
      <c r="A16" s="15" t="s">
        <v>6</v>
      </c>
      <c r="B16" s="31">
        <v>25</v>
      </c>
      <c r="C16" s="26">
        <v>8</v>
      </c>
      <c r="D16" s="26">
        <v>34</v>
      </c>
      <c r="E16" s="26">
        <f t="shared" si="2"/>
        <v>1156</v>
      </c>
      <c r="H16" s="27">
        <v>2</v>
      </c>
      <c r="I16" s="33">
        <v>21</v>
      </c>
      <c r="J16" s="28">
        <f t="shared" si="3"/>
        <v>4</v>
      </c>
    </row>
    <row r="17" spans="1:10" x14ac:dyDescent="0.35">
      <c r="A17" s="15" t="s">
        <v>7</v>
      </c>
      <c r="B17" s="31">
        <v>14</v>
      </c>
      <c r="C17" s="26">
        <v>8</v>
      </c>
      <c r="D17" s="26">
        <v>42</v>
      </c>
      <c r="E17" s="26">
        <f t="shared" si="2"/>
        <v>1764</v>
      </c>
      <c r="H17" s="27">
        <v>3</v>
      </c>
      <c r="I17" s="33">
        <v>19</v>
      </c>
      <c r="J17" s="35">
        <f t="shared" si="3"/>
        <v>9</v>
      </c>
    </row>
    <row r="18" spans="1:10" x14ac:dyDescent="0.35">
      <c r="A18" s="15" t="s">
        <v>8</v>
      </c>
      <c r="B18" s="31">
        <v>17</v>
      </c>
      <c r="C18" s="26">
        <v>10</v>
      </c>
      <c r="D18" s="26">
        <v>51</v>
      </c>
      <c r="E18" s="26">
        <f t="shared" si="2"/>
        <v>2601</v>
      </c>
      <c r="H18" s="18" t="s">
        <v>3</v>
      </c>
      <c r="I18" s="20">
        <f xml:space="preserve"> SUM(I14:I17)</f>
        <v>124</v>
      </c>
      <c r="J18" s="16"/>
    </row>
    <row r="19" spans="1:10" x14ac:dyDescent="0.35">
      <c r="A19" s="15" t="s">
        <v>9</v>
      </c>
      <c r="B19" s="31">
        <v>12</v>
      </c>
      <c r="C19" s="26">
        <v>6</v>
      </c>
      <c r="D19" s="26">
        <v>59</v>
      </c>
      <c r="E19" s="26">
        <f t="shared" si="2"/>
        <v>3481</v>
      </c>
    </row>
    <row r="20" spans="1:10" x14ac:dyDescent="0.35">
      <c r="A20" s="18" t="s">
        <v>3</v>
      </c>
      <c r="B20" s="29">
        <f xml:space="preserve"> SUM(B14:B19)</f>
        <v>124</v>
      </c>
    </row>
    <row r="22" spans="1:10" x14ac:dyDescent="0.35">
      <c r="A22" s="30" t="s">
        <v>40</v>
      </c>
      <c r="B22" s="11">
        <f xml:space="preserve"> SUMPRODUCT(B14:B19, D14:D19)/B20</f>
        <v>36.04032258064516</v>
      </c>
      <c r="H22" s="30" t="s">
        <v>42</v>
      </c>
      <c r="I22" s="11">
        <f xml:space="preserve"> SUMPRODUCT(H14:H17,I14:I17)/I18</f>
        <v>1.1129032258064515</v>
      </c>
    </row>
    <row r="23" spans="1:10" x14ac:dyDescent="0.35">
      <c r="A23" s="30" t="s">
        <v>41</v>
      </c>
      <c r="B23" s="11">
        <f xml:space="preserve"> SQRT(SUMPRODUCT(B14:B19,E14:E19)/B20 - B22^2)</f>
        <v>11.570540451835194</v>
      </c>
      <c r="H23" s="30" t="s">
        <v>43</v>
      </c>
      <c r="I23" s="11">
        <f xml:space="preserve"> SQRT(SUMPRODUCT(I14:I17, J14:J17)/I18 - I22^2)</f>
        <v>1.0641494969810765</v>
      </c>
    </row>
    <row r="26" spans="1:10" x14ac:dyDescent="0.35">
      <c r="A26" s="21" t="s">
        <v>16</v>
      </c>
    </row>
    <row r="28" spans="1:10" x14ac:dyDescent="0.35">
      <c r="A28" s="36" t="s">
        <v>17</v>
      </c>
      <c r="B28" s="36" t="s">
        <v>18</v>
      </c>
      <c r="C28" s="37" t="s">
        <v>39</v>
      </c>
    </row>
    <row r="29" spans="1:10" x14ac:dyDescent="0.35">
      <c r="A29" s="38">
        <v>24</v>
      </c>
      <c r="B29" s="38">
        <v>0</v>
      </c>
      <c r="C29" s="39">
        <v>14</v>
      </c>
    </row>
    <row r="30" spans="1:10" x14ac:dyDescent="0.35">
      <c r="A30" s="38">
        <v>24</v>
      </c>
      <c r="B30" s="38">
        <v>1</v>
      </c>
      <c r="C30" s="39">
        <v>6</v>
      </c>
    </row>
    <row r="31" spans="1:10" x14ac:dyDescent="0.35">
      <c r="A31" s="38">
        <v>24</v>
      </c>
      <c r="B31" s="38">
        <v>2</v>
      </c>
      <c r="C31" s="39">
        <v>5</v>
      </c>
    </row>
    <row r="32" spans="1:10" x14ac:dyDescent="0.35">
      <c r="A32" s="38">
        <v>24</v>
      </c>
      <c r="B32" s="38">
        <v>3</v>
      </c>
      <c r="C32" s="39">
        <v>3</v>
      </c>
    </row>
    <row r="33" spans="1:3" x14ac:dyDescent="0.35">
      <c r="A33" s="38">
        <v>28</v>
      </c>
      <c r="B33" s="38">
        <v>0</v>
      </c>
      <c r="C33" s="39">
        <v>12</v>
      </c>
    </row>
    <row r="34" spans="1:3" x14ac:dyDescent="0.35">
      <c r="A34" s="38">
        <v>28</v>
      </c>
      <c r="B34" s="38">
        <v>1</v>
      </c>
      <c r="C34" s="39">
        <v>7</v>
      </c>
    </row>
    <row r="35" spans="1:3" x14ac:dyDescent="0.35">
      <c r="A35" s="38">
        <v>28</v>
      </c>
      <c r="B35" s="38">
        <v>2</v>
      </c>
      <c r="C35" s="39">
        <v>5</v>
      </c>
    </row>
    <row r="36" spans="1:3" x14ac:dyDescent="0.35">
      <c r="A36" s="38">
        <v>28</v>
      </c>
      <c r="B36" s="38">
        <v>3</v>
      </c>
      <c r="C36" s="39">
        <v>4</v>
      </c>
    </row>
    <row r="37" spans="1:3" x14ac:dyDescent="0.35">
      <c r="A37" s="38">
        <v>34</v>
      </c>
      <c r="B37" s="38">
        <v>0</v>
      </c>
      <c r="C37" s="39">
        <v>10</v>
      </c>
    </row>
    <row r="38" spans="1:3" x14ac:dyDescent="0.35">
      <c r="A38" s="38">
        <v>34</v>
      </c>
      <c r="B38" s="38">
        <v>1</v>
      </c>
      <c r="C38" s="39">
        <v>10</v>
      </c>
    </row>
    <row r="39" spans="1:3" x14ac:dyDescent="0.35">
      <c r="A39" s="38">
        <v>34</v>
      </c>
      <c r="B39" s="38">
        <v>2</v>
      </c>
      <c r="C39" s="39">
        <v>3</v>
      </c>
    </row>
    <row r="40" spans="1:3" x14ac:dyDescent="0.35">
      <c r="A40" s="38">
        <v>34</v>
      </c>
      <c r="B40" s="38">
        <v>3</v>
      </c>
      <c r="C40" s="39">
        <v>2</v>
      </c>
    </row>
    <row r="41" spans="1:3" x14ac:dyDescent="0.35">
      <c r="A41" s="38">
        <v>42</v>
      </c>
      <c r="B41" s="38">
        <v>0</v>
      </c>
      <c r="C41" s="39">
        <v>4</v>
      </c>
    </row>
    <row r="42" spans="1:3" x14ac:dyDescent="0.35">
      <c r="A42" s="38">
        <v>42</v>
      </c>
      <c r="B42" s="38">
        <v>1</v>
      </c>
      <c r="C42" s="39">
        <v>3</v>
      </c>
    </row>
    <row r="43" spans="1:3" x14ac:dyDescent="0.35">
      <c r="A43" s="38">
        <v>42</v>
      </c>
      <c r="B43" s="38">
        <v>2</v>
      </c>
      <c r="C43" s="39">
        <v>2</v>
      </c>
    </row>
    <row r="44" spans="1:3" x14ac:dyDescent="0.35">
      <c r="A44" s="38">
        <v>42</v>
      </c>
      <c r="B44" s="38">
        <v>3</v>
      </c>
      <c r="C44" s="39">
        <v>5</v>
      </c>
    </row>
    <row r="45" spans="1:3" x14ac:dyDescent="0.35">
      <c r="A45" s="38">
        <v>51</v>
      </c>
      <c r="B45" s="38">
        <v>0</v>
      </c>
      <c r="C45" s="39">
        <v>2</v>
      </c>
    </row>
    <row r="46" spans="1:3" x14ac:dyDescent="0.35">
      <c r="A46" s="38">
        <v>51</v>
      </c>
      <c r="B46" s="38">
        <v>1</v>
      </c>
      <c r="C46" s="39">
        <v>10</v>
      </c>
    </row>
    <row r="47" spans="1:3" x14ac:dyDescent="0.35">
      <c r="A47" s="38">
        <v>51</v>
      </c>
      <c r="B47" s="38">
        <v>2</v>
      </c>
      <c r="C47" s="39">
        <v>4</v>
      </c>
    </row>
    <row r="48" spans="1:3" x14ac:dyDescent="0.35">
      <c r="A48" s="38">
        <v>51</v>
      </c>
      <c r="B48" s="38">
        <v>3</v>
      </c>
      <c r="C48" s="39">
        <v>1</v>
      </c>
    </row>
    <row r="49" spans="1:3" x14ac:dyDescent="0.35">
      <c r="A49" s="38">
        <v>59</v>
      </c>
      <c r="B49" s="38">
        <v>0</v>
      </c>
      <c r="C49" s="39">
        <v>3</v>
      </c>
    </row>
    <row r="50" spans="1:3" x14ac:dyDescent="0.35">
      <c r="A50" s="38">
        <v>59</v>
      </c>
      <c r="B50" s="38">
        <v>1</v>
      </c>
      <c r="C50" s="39">
        <v>3</v>
      </c>
    </row>
    <row r="51" spans="1:3" x14ac:dyDescent="0.35">
      <c r="A51" s="38">
        <v>59</v>
      </c>
      <c r="B51" s="38">
        <v>2</v>
      </c>
      <c r="C51" s="39">
        <v>2</v>
      </c>
    </row>
    <row r="52" spans="1:3" x14ac:dyDescent="0.35">
      <c r="A52" s="38">
        <v>59</v>
      </c>
      <c r="B52" s="38">
        <v>3</v>
      </c>
      <c r="C52" s="39">
        <v>4</v>
      </c>
    </row>
    <row r="55" spans="1:3" x14ac:dyDescent="0.35">
      <c r="A55" s="30" t="s">
        <v>19</v>
      </c>
      <c r="B55">
        <f xml:space="preserve"> SUMPRODUCT(A29:A52, B29:B52, C29:C52)/F8 - (B22*I22)</f>
        <v>2.438995837669097</v>
      </c>
    </row>
    <row r="56" spans="1:3" x14ac:dyDescent="0.35">
      <c r="A56" s="30" t="s">
        <v>38</v>
      </c>
      <c r="B56">
        <f>B55/(B23*I23)</f>
        <v>0.19808645054433766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8730-EEB8-4C3D-80EC-A4037910F7C3}">
  <dimension ref="A1:I35"/>
  <sheetViews>
    <sheetView workbookViewId="0">
      <selection activeCell="C23" sqref="C23"/>
    </sheetView>
  </sheetViews>
  <sheetFormatPr defaultColWidth="10.90625" defaultRowHeight="14.5" x14ac:dyDescent="0.35"/>
  <cols>
    <col min="1" max="1" width="25.6328125" customWidth="1"/>
    <col min="2" max="2" width="20.36328125" bestFit="1" customWidth="1"/>
    <col min="3" max="3" width="17.6328125" customWidth="1"/>
    <col min="7" max="7" width="15.6328125" customWidth="1"/>
    <col min="8" max="8" width="20.36328125" bestFit="1" customWidth="1"/>
  </cols>
  <sheetData>
    <row r="1" spans="1:9" x14ac:dyDescent="0.35">
      <c r="A1" s="12" t="s">
        <v>47</v>
      </c>
      <c r="B1" s="13">
        <v>20</v>
      </c>
      <c r="C1" s="13">
        <v>25</v>
      </c>
      <c r="D1" s="44">
        <v>30</v>
      </c>
      <c r="E1" s="46" t="s">
        <v>3</v>
      </c>
    </row>
    <row r="2" spans="1:9" x14ac:dyDescent="0.35">
      <c r="A2" s="15">
        <v>4</v>
      </c>
      <c r="B2" s="16">
        <v>1</v>
      </c>
      <c r="C2" s="16">
        <v>5</v>
      </c>
      <c r="D2" s="45">
        <v>25</v>
      </c>
      <c r="E2" s="47">
        <f xml:space="preserve"> SUM(B2:D2)</f>
        <v>31</v>
      </c>
    </row>
    <row r="3" spans="1:9" x14ac:dyDescent="0.35">
      <c r="A3" s="15">
        <v>5</v>
      </c>
      <c r="B3" s="16">
        <v>8</v>
      </c>
      <c r="C3" s="16">
        <v>20</v>
      </c>
      <c r="D3" s="45">
        <v>2</v>
      </c>
      <c r="E3" s="47">
        <f>SUM(B3:D3)</f>
        <v>30</v>
      </c>
    </row>
    <row r="4" spans="1:9" x14ac:dyDescent="0.35">
      <c r="A4" s="15">
        <v>6</v>
      </c>
      <c r="B4" s="16">
        <v>30</v>
      </c>
      <c r="C4" s="16">
        <v>7</v>
      </c>
      <c r="D4" s="45">
        <v>2</v>
      </c>
      <c r="E4" s="47">
        <f>SUM(B4:D4)</f>
        <v>39</v>
      </c>
    </row>
    <row r="5" spans="1:9" x14ac:dyDescent="0.35">
      <c r="A5" s="46" t="s">
        <v>3</v>
      </c>
      <c r="B5" s="47">
        <f xml:space="preserve"> SUM(B2:B4)</f>
        <v>39</v>
      </c>
      <c r="C5" s="47">
        <f xml:space="preserve"> SUM(C2:C4)</f>
        <v>32</v>
      </c>
      <c r="D5" s="47">
        <f>SUM(D2:D4)</f>
        <v>29</v>
      </c>
      <c r="E5" s="43">
        <f xml:space="preserve"> SUM(B5:D5)</f>
        <v>100</v>
      </c>
    </row>
    <row r="8" spans="1:9" x14ac:dyDescent="0.35">
      <c r="A8" s="21" t="s">
        <v>10</v>
      </c>
      <c r="G8" s="21" t="s">
        <v>11</v>
      </c>
    </row>
    <row r="9" spans="1:9" x14ac:dyDescent="0.35">
      <c r="A9" s="22" t="s">
        <v>48</v>
      </c>
      <c r="B9" s="15" t="s">
        <v>49</v>
      </c>
      <c r="C9" s="24" t="s">
        <v>20</v>
      </c>
      <c r="G9" s="25" t="s">
        <v>50</v>
      </c>
      <c r="H9" s="25" t="s">
        <v>49</v>
      </c>
      <c r="I9" s="48" t="s">
        <v>21</v>
      </c>
    </row>
    <row r="10" spans="1:9" x14ac:dyDescent="0.35">
      <c r="A10" s="40">
        <v>4</v>
      </c>
      <c r="B10" s="26">
        <v>31</v>
      </c>
      <c r="C10" s="50">
        <f xml:space="preserve"> A10^2</f>
        <v>16</v>
      </c>
      <c r="G10" s="42">
        <v>20</v>
      </c>
      <c r="H10" s="28">
        <v>39</v>
      </c>
      <c r="I10" s="49">
        <f xml:space="preserve"> G10^2</f>
        <v>400</v>
      </c>
    </row>
    <row r="11" spans="1:9" x14ac:dyDescent="0.35">
      <c r="A11" s="40">
        <v>5</v>
      </c>
      <c r="B11" s="26">
        <v>30</v>
      </c>
      <c r="C11" s="50">
        <f t="shared" ref="C11:C12" si="0" xml:space="preserve"> A11^2</f>
        <v>25</v>
      </c>
      <c r="G11" s="42">
        <v>25</v>
      </c>
      <c r="H11" s="28">
        <v>32</v>
      </c>
      <c r="I11" s="49">
        <f t="shared" ref="I11:I12" si="1" xml:space="preserve"> G11^2</f>
        <v>625</v>
      </c>
    </row>
    <row r="12" spans="1:9" x14ac:dyDescent="0.35">
      <c r="A12" s="40">
        <v>6</v>
      </c>
      <c r="B12" s="26">
        <v>39</v>
      </c>
      <c r="C12" s="50">
        <f t="shared" si="0"/>
        <v>36</v>
      </c>
      <c r="G12" s="42">
        <v>30</v>
      </c>
      <c r="H12" s="28">
        <v>29</v>
      </c>
      <c r="I12" s="49">
        <f t="shared" si="1"/>
        <v>900</v>
      </c>
    </row>
    <row r="13" spans="1:9" x14ac:dyDescent="0.35">
      <c r="A13" s="18" t="s">
        <v>3</v>
      </c>
      <c r="B13" s="43">
        <f xml:space="preserve"> SUM(B10:B12)</f>
        <v>100</v>
      </c>
      <c r="G13" s="41" t="s">
        <v>3</v>
      </c>
      <c r="H13" s="43">
        <f xml:space="preserve"> SUM(H10:H12)</f>
        <v>100</v>
      </c>
    </row>
    <row r="16" spans="1:9" x14ac:dyDescent="0.35">
      <c r="A16" s="30" t="s">
        <v>40</v>
      </c>
      <c r="B16" s="11">
        <f xml:space="preserve"> SUMPRODUCT(A10:A12,B10:B12)/B13</f>
        <v>5.08</v>
      </c>
      <c r="G16" s="30" t="s">
        <v>42</v>
      </c>
      <c r="H16" s="11">
        <f xml:space="preserve"> SUMPRODUCT(G10:G12,H10:H12)/H13</f>
        <v>24.5</v>
      </c>
    </row>
    <row r="17" spans="1:8" x14ac:dyDescent="0.35">
      <c r="A17" s="30" t="s">
        <v>52</v>
      </c>
      <c r="B17" s="11">
        <f xml:space="preserve"> SQRT(SUMPRODUCT(C10:C12,B10:B12)/B13 - B16^2)</f>
        <v>0.8328265125462806</v>
      </c>
      <c r="G17" s="30" t="s">
        <v>51</v>
      </c>
      <c r="H17" s="11">
        <f xml:space="preserve"> SQRT(SUMPRODUCT(I10:I12,H10:H12)/H13 - H16^2)</f>
        <v>4.0926763859362252</v>
      </c>
    </row>
    <row r="20" spans="1:8" x14ac:dyDescent="0.35">
      <c r="A20" s="21" t="s">
        <v>16</v>
      </c>
    </row>
    <row r="22" spans="1:8" x14ac:dyDescent="0.35">
      <c r="A22" s="36" t="s">
        <v>53</v>
      </c>
      <c r="B22" s="36" t="s">
        <v>54</v>
      </c>
      <c r="C22" s="37" t="s">
        <v>55</v>
      </c>
    </row>
    <row r="23" spans="1:8" x14ac:dyDescent="0.35">
      <c r="A23" s="38">
        <v>4</v>
      </c>
      <c r="B23" s="38">
        <v>20</v>
      </c>
      <c r="C23" s="39">
        <v>1</v>
      </c>
    </row>
    <row r="24" spans="1:8" x14ac:dyDescent="0.35">
      <c r="A24" s="38">
        <v>4</v>
      </c>
      <c r="B24" s="38">
        <v>25</v>
      </c>
      <c r="C24" s="39">
        <v>5</v>
      </c>
    </row>
    <row r="25" spans="1:8" x14ac:dyDescent="0.35">
      <c r="A25" s="38">
        <v>4</v>
      </c>
      <c r="B25" s="38">
        <v>30</v>
      </c>
      <c r="C25" s="39">
        <v>25</v>
      </c>
    </row>
    <row r="26" spans="1:8" x14ac:dyDescent="0.35">
      <c r="A26" s="38">
        <v>5</v>
      </c>
      <c r="B26" s="38">
        <v>20</v>
      </c>
      <c r="C26" s="39">
        <v>8</v>
      </c>
    </row>
    <row r="27" spans="1:8" x14ac:dyDescent="0.35">
      <c r="A27" s="38">
        <v>5</v>
      </c>
      <c r="B27" s="38">
        <v>25</v>
      </c>
      <c r="C27" s="39">
        <v>20</v>
      </c>
    </row>
    <row r="28" spans="1:8" x14ac:dyDescent="0.35">
      <c r="A28" s="38">
        <v>5</v>
      </c>
      <c r="B28" s="38">
        <v>30</v>
      </c>
      <c r="C28" s="39">
        <v>2</v>
      </c>
    </row>
    <row r="29" spans="1:8" x14ac:dyDescent="0.35">
      <c r="A29" s="38">
        <v>6</v>
      </c>
      <c r="B29" s="38">
        <v>20</v>
      </c>
      <c r="C29" s="39">
        <v>30</v>
      </c>
    </row>
    <row r="30" spans="1:8" x14ac:dyDescent="0.35">
      <c r="A30" s="38">
        <v>6</v>
      </c>
      <c r="B30" s="38">
        <v>25</v>
      </c>
      <c r="C30" s="39">
        <v>7</v>
      </c>
    </row>
    <row r="31" spans="1:8" x14ac:dyDescent="0.35">
      <c r="A31" s="38">
        <v>6</v>
      </c>
      <c r="B31" s="38">
        <v>30</v>
      </c>
      <c r="C31" s="39">
        <v>2</v>
      </c>
    </row>
    <row r="34" spans="1:2" x14ac:dyDescent="0.35">
      <c r="A34" s="30" t="s">
        <v>19</v>
      </c>
      <c r="B34" s="11">
        <f xml:space="preserve"> SUMPRODUCT(A23:A31,B23:B31,C23:C31)/E5 - (B16*H16)</f>
        <v>-2.5600000000000023</v>
      </c>
    </row>
    <row r="35" spans="1:2" x14ac:dyDescent="0.35">
      <c r="A35" s="30" t="s">
        <v>38</v>
      </c>
      <c r="B35" s="11">
        <f xml:space="preserve"> B34/(B17*H17)</f>
        <v>-0.7510658530692772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8" ma:contentTypeDescription="Crée un document." ma:contentTypeScope="" ma:versionID="a1792ed5d19ee5ab252c33350085386f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f2f4ce115f52bc9505b5498e049d5905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BCA911-0295-4589-B90B-D7ADB3CD83A9}"/>
</file>

<file path=customXml/itemProps2.xml><?xml version="1.0" encoding="utf-8"?>
<ds:datastoreItem xmlns:ds="http://schemas.openxmlformats.org/officeDocument/2006/customXml" ds:itemID="{C50D58F9-B9B5-4870-A29C-7CE51A59E013}"/>
</file>

<file path=customXml/itemProps3.xml><?xml version="1.0" encoding="utf-8"?>
<ds:datastoreItem xmlns:ds="http://schemas.openxmlformats.org/officeDocument/2006/customXml" ds:itemID="{A312F870-E8FD-476D-B8EA-EB327B66F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Monday vs Saturday</vt:lpstr>
      <vt:lpstr>Shoe size Vs IQ</vt:lpstr>
      <vt:lpstr>Age Vs Stress</vt:lpstr>
      <vt:lpstr>Power vs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2021-09-29T08:32:38Z</dcterms:created>
  <dcterms:modified xsi:type="dcterms:W3CDTF">2021-10-20T12:27:45Z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