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3\EN\"/>
    </mc:Choice>
  </mc:AlternateContent>
  <xr:revisionPtr revIDLastSave="0" documentId="13_ncr:1_{FCD018FE-B167-4DAC-A6C5-B7DF5D7F6036}" xr6:coauthVersionLast="47" xr6:coauthVersionMax="47" xr10:uidLastSave="{00000000-0000-0000-0000-000000000000}"/>
  <bookViews>
    <workbookView xWindow="-110" yWindow="-110" windowWidth="19420" windowHeight="10420" xr2:uid="{1B654C27-6517-4506-997B-2298E4A21EEE}"/>
  </bookViews>
  <sheets>
    <sheet name="Company A" sheetId="1" r:id="rId1"/>
    <sheet name="Graphs" sheetId="2" r:id="rId2"/>
  </sheets>
  <definedNames>
    <definedName name="_xlchart.v1.0" hidden="1">'Company A'!$E$2:$E$46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I36" i="1" s="1"/>
  <c r="I4" i="1"/>
  <c r="I6" i="1" s="1"/>
  <c r="J5" i="1" s="1"/>
  <c r="E49" i="1"/>
  <c r="D49" i="1"/>
  <c r="C49" i="1"/>
  <c r="B49" i="1"/>
  <c r="A49" i="1"/>
  <c r="N62" i="1"/>
  <c r="N59" i="1"/>
  <c r="N56" i="1"/>
  <c r="N53" i="1"/>
  <c r="N50" i="1"/>
  <c r="P42" i="1"/>
  <c r="P43" i="1"/>
  <c r="P44" i="1"/>
  <c r="P41" i="1"/>
  <c r="I35" i="1"/>
  <c r="I34" i="1"/>
  <c r="I33" i="1"/>
  <c r="I32" i="1"/>
  <c r="I57" i="1"/>
  <c r="I56" i="1"/>
  <c r="L23" i="1"/>
  <c r="I55" i="1"/>
  <c r="I54" i="1"/>
  <c r="L22" i="1"/>
  <c r="I53" i="1"/>
  <c r="I52" i="1"/>
  <c r="L21" i="1"/>
  <c r="I49" i="1"/>
  <c r="I48" i="1"/>
  <c r="L19" i="1"/>
  <c r="K19" i="1"/>
  <c r="K20" i="1" s="1"/>
  <c r="K21" i="1" s="1"/>
  <c r="K22" i="1" s="1"/>
  <c r="K23" i="1" s="1"/>
  <c r="K24" i="1" s="1"/>
  <c r="I24" i="1"/>
  <c r="I23" i="1"/>
  <c r="I22" i="1"/>
  <c r="I21" i="1"/>
  <c r="I19" i="1"/>
  <c r="I20" i="1"/>
  <c r="I14" i="1"/>
  <c r="J12" i="1" s="1"/>
  <c r="I13" i="1"/>
  <c r="I12" i="1"/>
  <c r="I11" i="1"/>
  <c r="I5" i="1"/>
  <c r="K31" i="1" l="1"/>
  <c r="K32" i="1" s="1"/>
  <c r="J33" i="1"/>
  <c r="J32" i="1"/>
  <c r="J34" i="1"/>
  <c r="J35" i="1"/>
  <c r="K33" i="1"/>
  <c r="K34" i="1" s="1"/>
  <c r="K35" i="1" s="1"/>
  <c r="J31" i="1"/>
  <c r="J11" i="1"/>
  <c r="J4" i="1"/>
  <c r="J6" i="1" s="1"/>
  <c r="J13" i="1"/>
  <c r="I25" i="1"/>
  <c r="J36" i="1" l="1"/>
  <c r="L31" i="1"/>
  <c r="J21" i="1"/>
  <c r="J22" i="1"/>
  <c r="J23" i="1"/>
  <c r="J24" i="1"/>
  <c r="J19" i="1"/>
  <c r="J20" i="1"/>
  <c r="J14" i="1"/>
  <c r="I51" i="1" l="1"/>
  <c r="I50" i="1"/>
  <c r="L32" i="1"/>
  <c r="L33" i="1" s="1"/>
  <c r="L34" i="1" s="1"/>
  <c r="L35" i="1" s="1"/>
  <c r="L20" i="1"/>
  <c r="L24" i="1" s="1"/>
  <c r="J25" i="1"/>
</calcChain>
</file>

<file path=xl/sharedStrings.xml><?xml version="1.0" encoding="utf-8"?>
<sst xmlns="http://schemas.openxmlformats.org/spreadsheetml/2006/main" count="160" uniqueCount="38">
  <si>
    <t>H</t>
  </si>
  <si>
    <t>L</t>
  </si>
  <si>
    <t>F</t>
  </si>
  <si>
    <t>MD</t>
  </si>
  <si>
    <t>B</t>
  </si>
  <si>
    <t>Total</t>
  </si>
  <si>
    <t>Modalité</t>
  </si>
  <si>
    <t>[1500 ; 1750[</t>
  </si>
  <si>
    <t>[1750 ; 2100[</t>
  </si>
  <si>
    <t>[2100 ; 2500[</t>
  </si>
  <si>
    <t>[2500 ; 2900[</t>
  </si>
  <si>
    <t>[2900 ; 3200[</t>
  </si>
  <si>
    <t xml:space="preserve">Total  </t>
  </si>
  <si>
    <t xml:space="preserve">Total </t>
  </si>
  <si>
    <t>Employee</t>
  </si>
  <si>
    <t>Gender</t>
  </si>
  <si>
    <t>Nb of children</t>
  </si>
  <si>
    <t>Study</t>
  </si>
  <si>
    <t>Salary</t>
  </si>
  <si>
    <t>Modalities</t>
  </si>
  <si>
    <t>ni (Absolute frequency)</t>
  </si>
  <si>
    <t>fi (Relative frequency)</t>
  </si>
  <si>
    <t>n_i^+ (increasing cumulative absolute frequency)</t>
  </si>
  <si>
    <t>f_i^+ (increasing cumulative relative frequency)</t>
  </si>
  <si>
    <t>Number of data</t>
  </si>
  <si>
    <t>Table 1 : synthesis of the data associated with the variable Gender</t>
  </si>
  <si>
    <t>Table 2 :  synthesis of the data associated with the variable Level of Study</t>
  </si>
  <si>
    <t>Table 3 :  synthesis of the data associated with the variable Number of children</t>
  </si>
  <si>
    <t>Table 4 :  synthesis of the data associated with the variable Salary (with predefined classes)</t>
  </si>
  <si>
    <t>The columns to create the f_i^+ curve of the variable Salary</t>
  </si>
  <si>
    <t>ai (width)</t>
  </si>
  <si>
    <t>hi (height)</t>
  </si>
  <si>
    <t>The columns to create the histogram of the variable salary</t>
  </si>
  <si>
    <t>The columns to create the f_i^+ curve of the variable Number of children</t>
  </si>
  <si>
    <t>Table 1bis : synthesis of the data associated with the variable Gender</t>
  </si>
  <si>
    <t>Table 2bis :  synthesis of the data associated with the variable Level of Study</t>
  </si>
  <si>
    <t>Table 3bis :  synthesis of the data associated with the variable Number of children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</si>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</sst>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6" borderId="0" xfId="0" applyFont="1" applyFill="1" applyBorder="1"/>
    <xf numFmtId="0" fontId="0" fillId="5" borderId="2" xfId="0" applyFill="1" applyBorder="1"/>
    <xf numFmtId="0" fontId="0" fillId="0" borderId="1" xfId="0" applyBorder="1"/>
    <xf numFmtId="0" fontId="0" fillId="6" borderId="1" xfId="0" applyFill="1" applyBorder="1"/>
    <xf numFmtId="0" fontId="0" fillId="6" borderId="0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81-4FC3-9EDD-27BB89F9D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81-4FC3-9EDD-27BB89F9D9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'Company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'Company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1-4FC3-9EDD-27BB89F9D9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050372703412074E-2"/>
          <c:y val="0.16286874154262521"/>
          <c:w val="0.87194960629921259"/>
          <c:h val="0.673676494091824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D99-4720-93EA-5F3E0D0073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'Company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'Company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9-4720-93EA-5F3E0D007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717216"/>
        <c:axId val="485718048"/>
      </c:barChart>
      <c:catAx>
        <c:axId val="48571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5718048"/>
        <c:crosses val="autoZero"/>
        <c:auto val="1"/>
        <c:lblAlgn val="ctr"/>
        <c:lblOffset val="100"/>
        <c:noMultiLvlLbl val="0"/>
      </c:catAx>
      <c:valAx>
        <c:axId val="4857180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571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Level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03A-45F8-84FC-DC5339B894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03A-45F8-84FC-DC5339B894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03A-45F8-84FC-DC5339B894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'Company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'Company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3A-45F8-84FC-DC5339B894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Level of Study</a:t>
            </a:r>
          </a:p>
        </c:rich>
      </c:tx>
      <c:layout>
        <c:manualLayout>
          <c:xMode val="edge"/>
          <c:yMode val="edge"/>
          <c:x val="0.2870216770712426"/>
          <c:y val="4.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03B-4339-93CD-1BB684C1ED0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3B-4339-93CD-1BB684C1ED0C}"/>
              </c:ext>
            </c:extLst>
          </c:dPt>
          <c:cat>
            <c:strRef>
              <c:f>'Company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'Company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B-4339-93CD-1BB684C1E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945056"/>
        <c:axId val="1034937984"/>
      </c:barChart>
      <c:catAx>
        <c:axId val="1034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37984"/>
        <c:crosses val="autoZero"/>
        <c:auto val="1"/>
        <c:lblAlgn val="ctr"/>
        <c:lblOffset val="100"/>
        <c:noMultiLvlLbl val="0"/>
      </c:catAx>
      <c:valAx>
        <c:axId val="10349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Number</a:t>
            </a:r>
            <a:r>
              <a:rPr lang="fr-FR" baseline="0"/>
              <a:t> of children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7171296296296298"/>
          <c:w val="0.84396062992125986"/>
          <c:h val="0.622716170895304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'Company A'!$H$19:$H$24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'Company A'!$I$19:$I$24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6-4FC5-B9D1-08FDCABB2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951360432"/>
        <c:axId val="951362512"/>
      </c:barChart>
      <c:catAx>
        <c:axId val="95136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Number of children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1362512"/>
        <c:crosses val="autoZero"/>
        <c:auto val="1"/>
        <c:lblAlgn val="ctr"/>
        <c:lblOffset val="100"/>
        <c:noMultiLvlLbl val="0"/>
      </c:catAx>
      <c:valAx>
        <c:axId val="951362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Absolute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1360432"/>
        <c:crosses val="autoZero"/>
        <c:crossBetween val="between"/>
      </c:valAx>
      <c:spPr>
        <a:noFill/>
        <a:ln>
          <a:solidFill>
            <a:schemeClr val="accent1">
              <a:alpha val="36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alpha val="97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Increasing cumulative frequencies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'Company A'!$H$40:$H$45</c:f>
              <c:numCache>
                <c:formatCode>General</c:formatCode>
                <c:ptCount val="6"/>
                <c:pt idx="0">
                  <c:v>1500</c:v>
                </c:pt>
                <c:pt idx="1">
                  <c:v>1750</c:v>
                </c:pt>
                <c:pt idx="2">
                  <c:v>2100</c:v>
                </c:pt>
                <c:pt idx="3">
                  <c:v>2500</c:v>
                </c:pt>
                <c:pt idx="4">
                  <c:v>2900</c:v>
                </c:pt>
                <c:pt idx="5">
                  <c:v>3200</c:v>
                </c:pt>
              </c:numCache>
            </c:numRef>
          </c:cat>
          <c:val>
            <c:numRef>
              <c:f>'Company A'!$I$40:$I$45</c:f>
              <c:numCache>
                <c:formatCode>General</c:formatCode>
                <c:ptCount val="6"/>
                <c:pt idx="0">
                  <c:v>0</c:v>
                </c:pt>
                <c:pt idx="1">
                  <c:v>0.1111111111111111</c:v>
                </c:pt>
                <c:pt idx="2">
                  <c:v>0.42222222222222222</c:v>
                </c:pt>
                <c:pt idx="3">
                  <c:v>0.77777777777777779</c:v>
                </c:pt>
                <c:pt idx="4">
                  <c:v>0.9555555555555556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4-4B59-9FF7-4F3A209802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4950464"/>
        <c:axId val="1034950880"/>
      </c:lineChart>
      <c:catAx>
        <c:axId val="1034950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50880"/>
        <c:crosses val="autoZero"/>
        <c:auto val="1"/>
        <c:lblAlgn val="ctr"/>
        <c:lblOffset val="100"/>
        <c:noMultiLvlLbl val="0"/>
      </c:catAx>
      <c:valAx>
        <c:axId val="10349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495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96-456B-959C-24C0829A6D3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96-456B-959C-24C0829A6D3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96-456B-959C-24C0829A6D38}"/>
              </c:ext>
            </c:extLst>
          </c:dPt>
          <c:xVal>
            <c:numRef>
              <c:f>'Company A'!$H$48:$H$58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</c:numCache>
            </c:numRef>
          </c:xVal>
          <c:yVal>
            <c:numRef>
              <c:f>'Company A'!$I$48:$I$58</c:f>
              <c:numCache>
                <c:formatCode>General</c:formatCode>
                <c:ptCount val="11"/>
                <c:pt idx="0">
                  <c:v>0.13333333333333333</c:v>
                </c:pt>
                <c:pt idx="1">
                  <c:v>0.13333333333333333</c:v>
                </c:pt>
                <c:pt idx="2">
                  <c:v>0.42222222222222222</c:v>
                </c:pt>
                <c:pt idx="3">
                  <c:v>0.42222222222222222</c:v>
                </c:pt>
                <c:pt idx="4">
                  <c:v>0.75555555555555554</c:v>
                </c:pt>
                <c:pt idx="5">
                  <c:v>0.75555555555555554</c:v>
                </c:pt>
                <c:pt idx="6">
                  <c:v>0.91111111111111109</c:v>
                </c:pt>
                <c:pt idx="7">
                  <c:v>0.91111111111111109</c:v>
                </c:pt>
                <c:pt idx="8">
                  <c:v>0.97777777777777775</c:v>
                </c:pt>
                <c:pt idx="9">
                  <c:v>0.97777777777777775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96-456B-959C-24C0829A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704815"/>
        <c:axId val="1390699823"/>
      </c:scatterChart>
      <c:valAx>
        <c:axId val="13907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699823"/>
        <c:crosses val="autoZero"/>
        <c:crossBetween val="midCat"/>
      </c:valAx>
      <c:valAx>
        <c:axId val="139069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9070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Histogram of the data associated with the variable salary (where the classes do not have the same widths).</a:t>
            </a:r>
            <a:endParaRPr lang="en-US" sz="1100"/>
          </a:p>
        </c:rich>
      </c:tx>
      <c:layout>
        <c:manualLayout>
          <c:xMode val="edge"/>
          <c:yMode val="edge"/>
          <c:x val="0.1066734470691163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'Company A'!$M$49:$M$64</c:f>
              <c:numCache>
                <c:formatCode>General</c:formatCode>
                <c:ptCount val="16"/>
                <c:pt idx="0">
                  <c:v>1500</c:v>
                </c:pt>
                <c:pt idx="1">
                  <c:v>1500</c:v>
                </c:pt>
                <c:pt idx="2">
                  <c:v>1750</c:v>
                </c:pt>
                <c:pt idx="3">
                  <c:v>1750</c:v>
                </c:pt>
                <c:pt idx="4">
                  <c:v>1750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2900</c:v>
                </c:pt>
                <c:pt idx="12">
                  <c:v>2900</c:v>
                </c:pt>
                <c:pt idx="13">
                  <c:v>2900</c:v>
                </c:pt>
                <c:pt idx="14">
                  <c:v>3200</c:v>
                </c:pt>
                <c:pt idx="15">
                  <c:v>3200</c:v>
                </c:pt>
              </c:numCache>
            </c:numRef>
          </c:xVal>
          <c:yVal>
            <c:numRef>
              <c:f>'Company A'!$N$49:$N$64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0.04</c:v>
                </c:pt>
                <c:pt idx="5">
                  <c:v>0.04</c:v>
                </c:pt>
                <c:pt idx="6">
                  <c:v>0</c:v>
                </c:pt>
                <c:pt idx="7">
                  <c:v>0.04</c:v>
                </c:pt>
                <c:pt idx="8">
                  <c:v>0.04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6.6666666666666671E-3</c:v>
                </c:pt>
                <c:pt idx="14">
                  <c:v>6.6666666666666671E-3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1-4842-B4E7-8FD72FC3A4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9208672"/>
        <c:axId val="1389207424"/>
      </c:scatterChart>
      <c:valAx>
        <c:axId val="13892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207424"/>
        <c:crosses val="autoZero"/>
        <c:crossBetween val="midCat"/>
      </c:valAx>
      <c:valAx>
        <c:axId val="13892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92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of the Salary variable data from the raw data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05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the Salary variable data from the raw data</a:t>
          </a:r>
        </a:p>
      </cx:txPr>
    </cx:title>
    <cx:plotArea>
      <cx:plotAreaRegion>
        <cx:series layoutId="clusteredColumn" uniqueId="{88F82C81-0EBC-451B-8C79-FA3526DF4302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fr-FR" sz="900" b="0" i="0" u="none" strike="noStrike" baseline="0">
              <a:solidFill>
                <a:sysClr val="windowText" lastClr="000000">
                  <a:lumMod val="50000"/>
                  <a:lumOff val="50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88900</xdr:colOff>
      <xdr:row>9</xdr:row>
      <xdr:rowOff>107951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125952-FFD7-43B2-AA46-E841B8CDA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101601</xdr:colOff>
      <xdr:row>0</xdr:row>
      <xdr:rowOff>0</xdr:rowOff>
    </xdr:from>
    <xdr:to>
      <xdr:col>6</xdr:col>
      <xdr:colOff>374651</xdr:colOff>
      <xdr:row>9</xdr:row>
      <xdr:rowOff>107949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15F8EC3-FC77-48BA-9CE1-88A8BFEFD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12</xdr:row>
      <xdr:rowOff>95250</xdr:rowOff>
    </xdr:from>
    <xdr:to>
      <xdr:col>3</xdr:col>
      <xdr:colOff>476250</xdr:colOff>
      <xdr:row>23</xdr:row>
      <xdr:rowOff>165100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E17DCF5-F6F1-41BB-83DB-148A033ED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12</xdr:row>
      <xdr:rowOff>101600</xdr:rowOff>
    </xdr:from>
    <xdr:to>
      <xdr:col>7</xdr:col>
      <xdr:colOff>50800</xdr:colOff>
      <xdr:row>23</xdr:row>
      <xdr:rowOff>177800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2EB6D05-6AD0-45D3-A210-58D7585A9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209550</xdr:colOff>
      <xdr:row>2</xdr:row>
      <xdr:rowOff>63500</xdr:rowOff>
    </xdr:from>
    <xdr:to>
      <xdr:col>14</xdr:col>
      <xdr:colOff>209550</xdr:colOff>
      <xdr:row>17</xdr:row>
      <xdr:rowOff>44450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70DCEB1-0989-48B8-BCE3-903D2C9BA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26</xdr:row>
      <xdr:rowOff>0</xdr:rowOff>
    </xdr:from>
    <xdr:to>
      <xdr:col>6</xdr:col>
      <xdr:colOff>19050</xdr:colOff>
      <xdr:row>40</xdr:row>
      <xdr:rowOff>165100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1AC941A-8A76-4B1F-9F76-982B06D45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266700</xdr:colOff>
      <xdr:row>24</xdr:row>
      <xdr:rowOff>146050</xdr:rowOff>
    </xdr:from>
    <xdr:to>
      <xdr:col>13</xdr:col>
      <xdr:colOff>266700</xdr:colOff>
      <xdr:row>39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phique 8">
              <a:extLst>
                <a:ext uri="{FF2B5EF4-FFF2-40B4-BE49-F238E27FC236}">
                  <a16:creationId xmlns:a16="http://schemas.microsoft.com/office/drawing/2014/main" id="{17CC8727-E848-4ED2-9869-B1B6404378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0" y="4565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673100</xdr:colOff>
      <xdr:row>2</xdr:row>
      <xdr:rowOff>146050</xdr:rowOff>
    </xdr:from>
    <xdr:to>
      <xdr:col>20</xdr:col>
      <xdr:colOff>673100</xdr:colOff>
      <xdr:row>17</xdr:row>
      <xdr:rowOff>127000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A669686-4146-4B5D-9CE0-F87C193B7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266700</xdr:colOff>
      <xdr:row>24</xdr:row>
      <xdr:rowOff>12700</xdr:rowOff>
    </xdr:from>
    <xdr:to>
      <xdr:col>21</xdr:col>
      <xdr:colOff>266700</xdr:colOff>
      <xdr:row>38</xdr:row>
      <xdr:rowOff>177800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A83289B-B68B-4965-AF0F-99C5AD27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éa HISLER-BAYLE" refreshedDate="44496.518351620369" createdVersion="7" refreshedVersion="7" minRefreshableVersion="3" recordCount="45" xr:uid="{E8B26CFC-417D-43ED-85F5-E95C8B5F5FD4}">
  <cacheSource type="worksheet">
    <worksheetSource ref="B1:E46" sheet="Company A"/>
  </cacheSource>
  <cacheFields count="4">
    <cacheField name="Sexe" numFmtId="0">
      <sharedItems count="2">
        <s v="H"/>
        <s v="F"/>
      </sharedItems>
    </cacheField>
    <cacheField name="Nb d'enfants" numFmtId="0">
      <sharedItems containsSemiMixedTypes="0" containsString="0" containsNumber="1" containsInteger="1" minValue="0" maxValue="5" count="6">
        <n v="0"/>
        <n v="2"/>
        <n v="3"/>
        <n v="1"/>
        <n v="4"/>
        <n v="5"/>
      </sharedItems>
    </cacheField>
    <cacheField name="Etude" numFmtId="0">
      <sharedItems count="3">
        <s v="L"/>
        <s v="MD"/>
        <s v="B"/>
      </sharedItems>
    </cacheField>
    <cacheField name="Salaire" numFmtId="0">
      <sharedItems containsSemiMixedTypes="0" containsString="0" containsNumber="1" minValue="1521.2" maxValue="3136.08" count="45">
        <n v="2236.75"/>
        <n v="1688.78"/>
        <n v="2129.19"/>
        <n v="2230.44"/>
        <n v="2464.4"/>
        <n v="2826.96"/>
        <n v="2078.46"/>
        <n v="1636.53"/>
        <n v="2421.13"/>
        <n v="2015.99"/>
        <n v="2425.52"/>
        <n v="2274.58"/>
        <n v="2298.41"/>
        <n v="1942.28"/>
        <n v="2082.52"/>
        <n v="2321.31"/>
        <n v="2743.92"/>
        <n v="2261.37"/>
        <n v="1732.87"/>
        <n v="1991.7"/>
        <n v="2293.5"/>
        <n v="2516.73"/>
        <n v="2267.5100000000002"/>
        <n v="2501.9499999999998"/>
        <n v="1810.49"/>
        <n v="2003.33"/>
        <n v="1521.2"/>
        <n v="2842.23"/>
        <n v="2466.34"/>
        <n v="1825.96"/>
        <n v="2304.39"/>
        <n v="2469.86"/>
        <n v="2119.34"/>
        <n v="3071.21"/>
        <n v="2528.3200000000002"/>
        <n v="2011.97"/>
        <n v="2042.77"/>
        <n v="2686.19"/>
        <n v="2067.7399999999998"/>
        <n v="1957.48"/>
        <n v="2823.24"/>
        <n v="1650.5"/>
        <n v="3136.08"/>
        <n v="2024.03"/>
        <n v="1803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x v="0"/>
  </r>
  <r>
    <x v="1"/>
    <x v="1"/>
    <x v="0"/>
    <x v="1"/>
  </r>
  <r>
    <x v="0"/>
    <x v="2"/>
    <x v="0"/>
    <x v="2"/>
  </r>
  <r>
    <x v="0"/>
    <x v="3"/>
    <x v="1"/>
    <x v="3"/>
  </r>
  <r>
    <x v="1"/>
    <x v="1"/>
    <x v="0"/>
    <x v="4"/>
  </r>
  <r>
    <x v="0"/>
    <x v="4"/>
    <x v="2"/>
    <x v="5"/>
  </r>
  <r>
    <x v="1"/>
    <x v="1"/>
    <x v="0"/>
    <x v="6"/>
  </r>
  <r>
    <x v="0"/>
    <x v="3"/>
    <x v="1"/>
    <x v="7"/>
  </r>
  <r>
    <x v="1"/>
    <x v="2"/>
    <x v="0"/>
    <x v="8"/>
  </r>
  <r>
    <x v="1"/>
    <x v="4"/>
    <x v="1"/>
    <x v="9"/>
  </r>
  <r>
    <x v="0"/>
    <x v="1"/>
    <x v="0"/>
    <x v="10"/>
  </r>
  <r>
    <x v="0"/>
    <x v="5"/>
    <x v="1"/>
    <x v="11"/>
  </r>
  <r>
    <x v="1"/>
    <x v="1"/>
    <x v="0"/>
    <x v="12"/>
  </r>
  <r>
    <x v="0"/>
    <x v="3"/>
    <x v="1"/>
    <x v="13"/>
  </r>
  <r>
    <x v="1"/>
    <x v="2"/>
    <x v="2"/>
    <x v="14"/>
  </r>
  <r>
    <x v="0"/>
    <x v="0"/>
    <x v="0"/>
    <x v="15"/>
  </r>
  <r>
    <x v="1"/>
    <x v="2"/>
    <x v="1"/>
    <x v="16"/>
  </r>
  <r>
    <x v="1"/>
    <x v="1"/>
    <x v="0"/>
    <x v="17"/>
  </r>
  <r>
    <x v="0"/>
    <x v="3"/>
    <x v="1"/>
    <x v="18"/>
  </r>
  <r>
    <x v="0"/>
    <x v="0"/>
    <x v="0"/>
    <x v="19"/>
  </r>
  <r>
    <x v="0"/>
    <x v="0"/>
    <x v="0"/>
    <x v="20"/>
  </r>
  <r>
    <x v="1"/>
    <x v="3"/>
    <x v="0"/>
    <x v="21"/>
  </r>
  <r>
    <x v="0"/>
    <x v="3"/>
    <x v="0"/>
    <x v="22"/>
  </r>
  <r>
    <x v="0"/>
    <x v="1"/>
    <x v="0"/>
    <x v="23"/>
  </r>
  <r>
    <x v="1"/>
    <x v="2"/>
    <x v="2"/>
    <x v="24"/>
  </r>
  <r>
    <x v="0"/>
    <x v="1"/>
    <x v="0"/>
    <x v="25"/>
  </r>
  <r>
    <x v="1"/>
    <x v="1"/>
    <x v="1"/>
    <x v="26"/>
  </r>
  <r>
    <x v="1"/>
    <x v="3"/>
    <x v="0"/>
    <x v="27"/>
  </r>
  <r>
    <x v="0"/>
    <x v="1"/>
    <x v="2"/>
    <x v="28"/>
  </r>
  <r>
    <x v="0"/>
    <x v="3"/>
    <x v="1"/>
    <x v="29"/>
  </r>
  <r>
    <x v="0"/>
    <x v="0"/>
    <x v="0"/>
    <x v="30"/>
  </r>
  <r>
    <x v="0"/>
    <x v="1"/>
    <x v="0"/>
    <x v="31"/>
  </r>
  <r>
    <x v="1"/>
    <x v="3"/>
    <x v="0"/>
    <x v="32"/>
  </r>
  <r>
    <x v="0"/>
    <x v="3"/>
    <x v="1"/>
    <x v="33"/>
  </r>
  <r>
    <x v="1"/>
    <x v="3"/>
    <x v="1"/>
    <x v="34"/>
  </r>
  <r>
    <x v="1"/>
    <x v="1"/>
    <x v="0"/>
    <x v="35"/>
  </r>
  <r>
    <x v="0"/>
    <x v="1"/>
    <x v="0"/>
    <x v="36"/>
  </r>
  <r>
    <x v="1"/>
    <x v="0"/>
    <x v="1"/>
    <x v="37"/>
  </r>
  <r>
    <x v="1"/>
    <x v="3"/>
    <x v="0"/>
    <x v="38"/>
  </r>
  <r>
    <x v="1"/>
    <x v="2"/>
    <x v="0"/>
    <x v="39"/>
  </r>
  <r>
    <x v="0"/>
    <x v="4"/>
    <x v="2"/>
    <x v="40"/>
  </r>
  <r>
    <x v="0"/>
    <x v="1"/>
    <x v="0"/>
    <x v="41"/>
  </r>
  <r>
    <x v="0"/>
    <x v="2"/>
    <x v="1"/>
    <x v="42"/>
  </r>
  <r>
    <x v="0"/>
    <x v="3"/>
    <x v="0"/>
    <x v="43"/>
  </r>
  <r>
    <x v="1"/>
    <x v="1"/>
    <x v="0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2982E-A44D-4DAF-8001-FF9AEB1CCA00}" name="Tableau croisé dynamique5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é">
  <location ref="H79:I86" firstHeaderRow="1" firstDataRow="1" firstDataCol="1"/>
  <pivotFields count="4">
    <pivotField showAll="0">
      <items count="3">
        <item x="1"/>
        <item x="0"/>
        <item t="default"/>
      </items>
    </pivotField>
    <pivotField axis="axisRow" showAll="0">
      <items count="7">
        <item x="0"/>
        <item x="3"/>
        <item x="1"/>
        <item x="2"/>
        <item x="4"/>
        <item x="5"/>
        <item t="default"/>
      </items>
    </pivotField>
    <pivotField dataField="1" showAll="0">
      <items count="4">
        <item x="2"/>
        <item x="0"/>
        <item x="1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i" fld="2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952DC-C408-4B56-8600-FC6AC1DABB73}" name="Tableau croisé dynamique4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ies">
  <location ref="H70:I74" firstHeaderRow="1" firstDataRow="1" firstDataCol="1"/>
  <pivotFields count="4">
    <pivotField showAll="0">
      <items count="3">
        <item x="1"/>
        <item x="0"/>
        <item t="default"/>
      </items>
    </pivotField>
    <pivotField showAll="0"/>
    <pivotField axis="axisRow" dataField="1" showAll="0">
      <items count="4">
        <item x="2"/>
        <item x="0"/>
        <item x="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i" fld="2" subtotal="count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/>
    </format>
    <format dxfId="6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920F6-507D-46EF-B4B9-047FA36B029A}" name="Tableau croisé dynamique3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ies">
  <location ref="H62:I65" firstHeaderRow="1" firstDataRow="1" firstDataCol="1"/>
  <pivotFields count="4">
    <pivotField axis="axisRow" dataField="1" showAll="0" sortType="descending">
      <items count="3">
        <item x="0"/>
        <item x="1"/>
        <item t="default"/>
      </items>
    </pivotField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ni" fld="0" subtotal="count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AB27-5DE4-4C0E-9B12-C531C4062A32}">
  <dimension ref="A1:P88"/>
  <sheetViews>
    <sheetView tabSelected="1" zoomScale="70" zoomScaleNormal="70" workbookViewId="0">
      <selection activeCell="H47" sqref="H47"/>
    </sheetView>
  </sheetViews>
  <sheetFormatPr defaultColWidth="10.90625" defaultRowHeight="14.5" x14ac:dyDescent="0.35"/>
  <cols>
    <col min="1" max="1" width="10.90625" style="13"/>
    <col min="3" max="3" width="11.6328125" style="14" customWidth="1"/>
    <col min="8" max="8" width="12.90625" bestFit="1" customWidth="1"/>
    <col min="9" max="9" width="10" bestFit="1" customWidth="1"/>
    <col min="10" max="10" width="14.90625" bestFit="1" customWidth="1"/>
    <col min="11" max="11" width="28.1796875" customWidth="1"/>
    <col min="12" max="12" width="32.453125" customWidth="1"/>
    <col min="15" max="15" width="12.453125" customWidth="1"/>
  </cols>
  <sheetData>
    <row r="1" spans="1:10" x14ac:dyDescent="0.35">
      <c r="A1" s="1" t="s">
        <v>14</v>
      </c>
      <c r="B1" s="2" t="s">
        <v>15</v>
      </c>
      <c r="C1" s="3" t="s">
        <v>16</v>
      </c>
      <c r="D1" s="4" t="s">
        <v>17</v>
      </c>
      <c r="E1" s="5" t="s">
        <v>18</v>
      </c>
      <c r="H1" s="10" t="s">
        <v>25</v>
      </c>
    </row>
    <row r="2" spans="1:10" x14ac:dyDescent="0.35">
      <c r="A2" s="1">
        <v>1</v>
      </c>
      <c r="B2" s="6" t="s">
        <v>0</v>
      </c>
      <c r="C2" s="7">
        <v>0</v>
      </c>
      <c r="D2" s="8" t="s">
        <v>1</v>
      </c>
      <c r="E2" s="9">
        <v>2236.75</v>
      </c>
    </row>
    <row r="3" spans="1:10" x14ac:dyDescent="0.35">
      <c r="A3" s="1">
        <v>2</v>
      </c>
      <c r="B3" s="6" t="s">
        <v>2</v>
      </c>
      <c r="C3" s="7">
        <v>2</v>
      </c>
      <c r="D3" s="8" t="s">
        <v>1</v>
      </c>
      <c r="E3" s="9">
        <v>1688.78</v>
      </c>
      <c r="H3" s="2" t="s">
        <v>19</v>
      </c>
      <c r="I3" s="2" t="s">
        <v>20</v>
      </c>
      <c r="J3" s="2" t="s">
        <v>21</v>
      </c>
    </row>
    <row r="4" spans="1:10" x14ac:dyDescent="0.35">
      <c r="A4" s="1">
        <v>3</v>
      </c>
      <c r="B4" s="6" t="s">
        <v>0</v>
      </c>
      <c r="C4" s="7">
        <v>3</v>
      </c>
      <c r="D4" s="8" t="s">
        <v>1</v>
      </c>
      <c r="E4" s="9">
        <v>2129.19</v>
      </c>
      <c r="H4" s="6" t="s">
        <v>0</v>
      </c>
      <c r="I4" s="6">
        <f xml:space="preserve"> COUNTIF(B2:B46,"H")</f>
        <v>25</v>
      </c>
      <c r="J4" s="6">
        <f>I4/$I$6</f>
        <v>0.55555555555555558</v>
      </c>
    </row>
    <row r="5" spans="1:10" x14ac:dyDescent="0.35">
      <c r="A5" s="1">
        <v>4</v>
      </c>
      <c r="B5" s="6" t="s">
        <v>0</v>
      </c>
      <c r="C5" s="7">
        <v>1</v>
      </c>
      <c r="D5" s="8" t="s">
        <v>3</v>
      </c>
      <c r="E5" s="9">
        <v>2230.44</v>
      </c>
      <c r="H5" s="6" t="s">
        <v>2</v>
      </c>
      <c r="I5" s="6">
        <f xml:space="preserve"> COUNTIF(B2:B46,"F")</f>
        <v>20</v>
      </c>
      <c r="J5" s="6">
        <f>I5/$I$6</f>
        <v>0.44444444444444442</v>
      </c>
    </row>
    <row r="6" spans="1:10" x14ac:dyDescent="0.35">
      <c r="A6" s="1">
        <v>5</v>
      </c>
      <c r="B6" s="6" t="s">
        <v>2</v>
      </c>
      <c r="C6" s="7">
        <v>2</v>
      </c>
      <c r="D6" s="8" t="s">
        <v>1</v>
      </c>
      <c r="E6" s="9">
        <v>2464.4</v>
      </c>
      <c r="H6" s="2" t="s">
        <v>5</v>
      </c>
      <c r="I6" s="6">
        <f xml:space="preserve"> SUM(I4:I5)</f>
        <v>45</v>
      </c>
      <c r="J6" s="6">
        <f xml:space="preserve"> SUM(J4:J5)</f>
        <v>1</v>
      </c>
    </row>
    <row r="7" spans="1:10" x14ac:dyDescent="0.35">
      <c r="A7" s="1">
        <v>6</v>
      </c>
      <c r="B7" s="6" t="s">
        <v>0</v>
      </c>
      <c r="C7" s="7">
        <v>4</v>
      </c>
      <c r="D7" s="8" t="s">
        <v>4</v>
      </c>
      <c r="E7" s="9">
        <v>2826.96</v>
      </c>
    </row>
    <row r="8" spans="1:10" x14ac:dyDescent="0.35">
      <c r="A8" s="1">
        <v>7</v>
      </c>
      <c r="B8" s="6" t="s">
        <v>2</v>
      </c>
      <c r="C8" s="7">
        <v>2</v>
      </c>
      <c r="D8" s="8" t="s">
        <v>1</v>
      </c>
      <c r="E8" s="9">
        <v>2078.46</v>
      </c>
      <c r="H8" s="10" t="s">
        <v>26</v>
      </c>
    </row>
    <row r="9" spans="1:10" x14ac:dyDescent="0.35">
      <c r="A9" s="1">
        <v>8</v>
      </c>
      <c r="B9" s="6" t="s">
        <v>0</v>
      </c>
      <c r="C9" s="7">
        <v>1</v>
      </c>
      <c r="D9" s="8" t="s">
        <v>3</v>
      </c>
      <c r="E9" s="9">
        <v>1636.53</v>
      </c>
    </row>
    <row r="10" spans="1:10" x14ac:dyDescent="0.35">
      <c r="A10" s="1">
        <v>9</v>
      </c>
      <c r="B10" s="6" t="s">
        <v>2</v>
      </c>
      <c r="C10" s="7">
        <v>3</v>
      </c>
      <c r="D10" s="8" t="s">
        <v>1</v>
      </c>
      <c r="E10" s="9">
        <v>2421.13</v>
      </c>
      <c r="H10" s="4" t="s">
        <v>19</v>
      </c>
      <c r="I10" s="4" t="s">
        <v>20</v>
      </c>
      <c r="J10" s="4" t="s">
        <v>21</v>
      </c>
    </row>
    <row r="11" spans="1:10" x14ac:dyDescent="0.35">
      <c r="A11" s="1">
        <v>10</v>
      </c>
      <c r="B11" s="6" t="s">
        <v>2</v>
      </c>
      <c r="C11" s="7">
        <v>4</v>
      </c>
      <c r="D11" s="8" t="s">
        <v>3</v>
      </c>
      <c r="E11" s="9">
        <v>2015.99</v>
      </c>
      <c r="H11" s="8" t="s">
        <v>4</v>
      </c>
      <c r="I11" s="8">
        <f xml:space="preserve"> COUNTIF(D2:D46,"B")</f>
        <v>5</v>
      </c>
      <c r="J11" s="8">
        <f xml:space="preserve"> I11/$I$14</f>
        <v>0.1111111111111111</v>
      </c>
    </row>
    <row r="12" spans="1:10" x14ac:dyDescent="0.35">
      <c r="A12" s="1">
        <v>11</v>
      </c>
      <c r="B12" s="6" t="s">
        <v>0</v>
      </c>
      <c r="C12" s="7">
        <v>2</v>
      </c>
      <c r="D12" s="8" t="s">
        <v>1</v>
      </c>
      <c r="E12" s="9">
        <v>2425.52</v>
      </c>
      <c r="H12" s="8" t="s">
        <v>1</v>
      </c>
      <c r="I12" s="8">
        <f xml:space="preserve"> COUNTIF(D2:D46,"L")</f>
        <v>27</v>
      </c>
      <c r="J12" s="8">
        <f xml:space="preserve"> I12/$I$14</f>
        <v>0.6</v>
      </c>
    </row>
    <row r="13" spans="1:10" x14ac:dyDescent="0.35">
      <c r="A13" s="1">
        <v>12</v>
      </c>
      <c r="B13" s="6" t="s">
        <v>0</v>
      </c>
      <c r="C13" s="7">
        <v>5</v>
      </c>
      <c r="D13" s="8" t="s">
        <v>3</v>
      </c>
      <c r="E13" s="9">
        <v>2274.58</v>
      </c>
      <c r="H13" s="8" t="s">
        <v>3</v>
      </c>
      <c r="I13" s="8">
        <f xml:space="preserve"> COUNTIF(D2:D46,"MD")</f>
        <v>13</v>
      </c>
      <c r="J13" s="8">
        <f xml:space="preserve"> I13/$I$14</f>
        <v>0.28888888888888886</v>
      </c>
    </row>
    <row r="14" spans="1:10" x14ac:dyDescent="0.35">
      <c r="A14" s="1">
        <v>13</v>
      </c>
      <c r="B14" s="6" t="s">
        <v>2</v>
      </c>
      <c r="C14" s="7">
        <v>2</v>
      </c>
      <c r="D14" s="8" t="s">
        <v>1</v>
      </c>
      <c r="E14" s="9">
        <v>2298.41</v>
      </c>
      <c r="H14" s="4" t="s">
        <v>5</v>
      </c>
      <c r="I14" s="8">
        <f xml:space="preserve"> SUM(I11:I13)</f>
        <v>45</v>
      </c>
      <c r="J14" s="8">
        <f xml:space="preserve"> SUM(J11:J13)</f>
        <v>0.99999999999999989</v>
      </c>
    </row>
    <row r="15" spans="1:10" x14ac:dyDescent="0.35">
      <c r="A15" s="1">
        <v>14</v>
      </c>
      <c r="B15" s="6" t="s">
        <v>0</v>
      </c>
      <c r="C15" s="7">
        <v>1</v>
      </c>
      <c r="D15" s="8" t="s">
        <v>3</v>
      </c>
      <c r="E15" s="9">
        <v>1942.28</v>
      </c>
    </row>
    <row r="16" spans="1:10" x14ac:dyDescent="0.35">
      <c r="A16" s="1">
        <v>15</v>
      </c>
      <c r="B16" s="6" t="s">
        <v>2</v>
      </c>
      <c r="C16" s="7">
        <v>3</v>
      </c>
      <c r="D16" s="8" t="s">
        <v>4</v>
      </c>
      <c r="E16" s="9">
        <v>2082.52</v>
      </c>
      <c r="H16" s="10" t="s">
        <v>27</v>
      </c>
    </row>
    <row r="17" spans="1:12" x14ac:dyDescent="0.35">
      <c r="A17" s="1">
        <v>16</v>
      </c>
      <c r="B17" s="6" t="s">
        <v>0</v>
      </c>
      <c r="C17" s="7">
        <v>0</v>
      </c>
      <c r="D17" s="8" t="s">
        <v>1</v>
      </c>
      <c r="E17" s="9">
        <v>2321.31</v>
      </c>
    </row>
    <row r="18" spans="1:12" x14ac:dyDescent="0.35">
      <c r="A18" s="1">
        <v>17</v>
      </c>
      <c r="B18" s="6" t="s">
        <v>2</v>
      </c>
      <c r="C18" s="7">
        <v>3</v>
      </c>
      <c r="D18" s="8" t="s">
        <v>3</v>
      </c>
      <c r="E18" s="9">
        <v>2743.92</v>
      </c>
      <c r="H18" s="11" t="s">
        <v>19</v>
      </c>
      <c r="I18" s="11" t="s">
        <v>20</v>
      </c>
      <c r="J18" s="11" t="s">
        <v>21</v>
      </c>
      <c r="K18" s="11" t="s">
        <v>22</v>
      </c>
      <c r="L18" s="11" t="s">
        <v>23</v>
      </c>
    </row>
    <row r="19" spans="1:12" x14ac:dyDescent="0.35">
      <c r="A19" s="1">
        <v>18</v>
      </c>
      <c r="B19" s="6" t="s">
        <v>2</v>
      </c>
      <c r="C19" s="7">
        <v>2</v>
      </c>
      <c r="D19" s="8" t="s">
        <v>1</v>
      </c>
      <c r="E19" s="9">
        <v>2261.37</v>
      </c>
      <c r="H19" s="12">
        <v>0</v>
      </c>
      <c r="I19" s="12">
        <f xml:space="preserve"> COUNTIF(C2:C46,"0")</f>
        <v>6</v>
      </c>
      <c r="J19" s="12">
        <f t="shared" ref="J19:J24" si="0">I19/$I$25</f>
        <v>0.13333333333333333</v>
      </c>
      <c r="K19" s="12">
        <f xml:space="preserve"> I19</f>
        <v>6</v>
      </c>
      <c r="L19" s="12">
        <f>J19</f>
        <v>0.13333333333333333</v>
      </c>
    </row>
    <row r="20" spans="1:12" x14ac:dyDescent="0.35">
      <c r="A20" s="1">
        <v>19</v>
      </c>
      <c r="B20" s="6" t="s">
        <v>0</v>
      </c>
      <c r="C20" s="7">
        <v>1</v>
      </c>
      <c r="D20" s="8" t="s">
        <v>3</v>
      </c>
      <c r="E20" s="9">
        <v>1732.87</v>
      </c>
      <c r="H20" s="12">
        <v>1</v>
      </c>
      <c r="I20" s="12">
        <f xml:space="preserve"> COUNTIF(C2:C46,"1")</f>
        <v>13</v>
      </c>
      <c r="J20" s="12">
        <f t="shared" si="0"/>
        <v>0.28888888888888886</v>
      </c>
      <c r="K20" s="12">
        <f xml:space="preserve"> K19 +I20</f>
        <v>19</v>
      </c>
      <c r="L20" s="12">
        <f xml:space="preserve"> L19+J20</f>
        <v>0.42222222222222217</v>
      </c>
    </row>
    <row r="21" spans="1:12" x14ac:dyDescent="0.35">
      <c r="A21" s="1">
        <v>20</v>
      </c>
      <c r="B21" s="6" t="s">
        <v>0</v>
      </c>
      <c r="C21" s="7">
        <v>0</v>
      </c>
      <c r="D21" s="8" t="s">
        <v>1</v>
      </c>
      <c r="E21" s="9">
        <v>1991.7</v>
      </c>
      <c r="H21" s="12">
        <v>2</v>
      </c>
      <c r="I21" s="12">
        <f xml:space="preserve"> COUNTIF(C2:C46,"2")</f>
        <v>15</v>
      </c>
      <c r="J21" s="12">
        <f t="shared" si="0"/>
        <v>0.33333333333333331</v>
      </c>
      <c r="K21" s="12">
        <f t="shared" ref="K21:K24" si="1" xml:space="preserve"> K20 +I21</f>
        <v>34</v>
      </c>
      <c r="L21" s="12">
        <f xml:space="preserve"> L20+J21</f>
        <v>0.75555555555555554</v>
      </c>
    </row>
    <row r="22" spans="1:12" x14ac:dyDescent="0.35">
      <c r="A22" s="1">
        <v>21</v>
      </c>
      <c r="B22" s="6" t="s">
        <v>0</v>
      </c>
      <c r="C22" s="7">
        <v>0</v>
      </c>
      <c r="D22" s="8" t="s">
        <v>1</v>
      </c>
      <c r="E22" s="9">
        <v>2293.5</v>
      </c>
      <c r="H22" s="12">
        <v>3</v>
      </c>
      <c r="I22" s="12">
        <f xml:space="preserve"> COUNTIF(C2:C46,"3")</f>
        <v>7</v>
      </c>
      <c r="J22" s="12">
        <f t="shared" si="0"/>
        <v>0.15555555555555556</v>
      </c>
      <c r="K22" s="12">
        <f t="shared" si="1"/>
        <v>41</v>
      </c>
      <c r="L22" s="12">
        <f xml:space="preserve"> L21+J22</f>
        <v>0.91111111111111109</v>
      </c>
    </row>
    <row r="23" spans="1:12" x14ac:dyDescent="0.35">
      <c r="A23" s="1">
        <v>22</v>
      </c>
      <c r="B23" s="6" t="s">
        <v>2</v>
      </c>
      <c r="C23" s="7">
        <v>1</v>
      </c>
      <c r="D23" s="8" t="s">
        <v>1</v>
      </c>
      <c r="E23" s="9">
        <v>2516.73</v>
      </c>
      <c r="H23" s="12">
        <v>4</v>
      </c>
      <c r="I23" s="12">
        <f xml:space="preserve"> COUNTIF(C2:C46,"4")</f>
        <v>3</v>
      </c>
      <c r="J23" s="12">
        <f t="shared" si="0"/>
        <v>6.6666666666666666E-2</v>
      </c>
      <c r="K23" s="12">
        <f t="shared" si="1"/>
        <v>44</v>
      </c>
      <c r="L23" s="12">
        <f xml:space="preserve"> L22+J23</f>
        <v>0.97777777777777775</v>
      </c>
    </row>
    <row r="24" spans="1:12" x14ac:dyDescent="0.35">
      <c r="A24" s="1">
        <v>23</v>
      </c>
      <c r="B24" s="6" t="s">
        <v>0</v>
      </c>
      <c r="C24" s="7">
        <v>1</v>
      </c>
      <c r="D24" s="8" t="s">
        <v>1</v>
      </c>
      <c r="E24" s="9">
        <v>2267.5100000000002</v>
      </c>
      <c r="H24" s="12">
        <v>5</v>
      </c>
      <c r="I24" s="12">
        <f xml:space="preserve"> COUNTIF(C2:C46,"5")</f>
        <v>1</v>
      </c>
      <c r="J24" s="12">
        <f t="shared" si="0"/>
        <v>2.2222222222222223E-2</v>
      </c>
      <c r="K24" s="12">
        <f t="shared" si="1"/>
        <v>45</v>
      </c>
      <c r="L24" s="12">
        <f t="shared" ref="L24" si="2" xml:space="preserve"> L23+J24</f>
        <v>1</v>
      </c>
    </row>
    <row r="25" spans="1:12" x14ac:dyDescent="0.35">
      <c r="A25" s="1">
        <v>24</v>
      </c>
      <c r="B25" s="6" t="s">
        <v>0</v>
      </c>
      <c r="C25" s="7">
        <v>2</v>
      </c>
      <c r="D25" s="8" t="s">
        <v>1</v>
      </c>
      <c r="E25" s="9">
        <v>2501.9499999999998</v>
      </c>
      <c r="H25" s="11" t="s">
        <v>5</v>
      </c>
      <c r="I25" s="12">
        <f xml:space="preserve"> SUM(I19:I24)</f>
        <v>45</v>
      </c>
      <c r="J25" s="12">
        <f xml:space="preserve"> SUM(J19:J24)</f>
        <v>1</v>
      </c>
      <c r="K25" s="12"/>
      <c r="L25" s="12"/>
    </row>
    <row r="26" spans="1:12" x14ac:dyDescent="0.35">
      <c r="A26" s="1">
        <v>25</v>
      </c>
      <c r="B26" s="6" t="s">
        <v>2</v>
      </c>
      <c r="C26" s="7">
        <v>3</v>
      </c>
      <c r="D26" s="8" t="s">
        <v>4</v>
      </c>
      <c r="E26" s="9">
        <v>1810.49</v>
      </c>
    </row>
    <row r="27" spans="1:12" x14ac:dyDescent="0.35">
      <c r="A27" s="1">
        <v>26</v>
      </c>
      <c r="B27" s="6" t="s">
        <v>0</v>
      </c>
      <c r="C27" s="7">
        <v>2</v>
      </c>
      <c r="D27" s="8" t="s">
        <v>1</v>
      </c>
      <c r="E27" s="9">
        <v>2003.33</v>
      </c>
    </row>
    <row r="28" spans="1:12" x14ac:dyDescent="0.35">
      <c r="A28" s="1">
        <v>27</v>
      </c>
      <c r="B28" s="6" t="s">
        <v>2</v>
      </c>
      <c r="C28" s="7">
        <v>2</v>
      </c>
      <c r="D28" s="8" t="s">
        <v>3</v>
      </c>
      <c r="E28" s="9">
        <v>1521.2</v>
      </c>
      <c r="H28" s="10" t="s">
        <v>28</v>
      </c>
    </row>
    <row r="29" spans="1:12" x14ac:dyDescent="0.35">
      <c r="A29" s="1">
        <v>28</v>
      </c>
      <c r="B29" s="6" t="s">
        <v>2</v>
      </c>
      <c r="C29" s="7">
        <v>1</v>
      </c>
      <c r="D29" s="8" t="s">
        <v>1</v>
      </c>
      <c r="E29" s="9">
        <v>2842.23</v>
      </c>
    </row>
    <row r="30" spans="1:12" x14ac:dyDescent="0.35">
      <c r="A30" s="1">
        <v>29</v>
      </c>
      <c r="B30" s="6" t="s">
        <v>0</v>
      </c>
      <c r="C30" s="7">
        <v>2</v>
      </c>
      <c r="D30" s="8" t="s">
        <v>4</v>
      </c>
      <c r="E30" s="9">
        <v>2466.34</v>
      </c>
      <c r="H30" s="5" t="s">
        <v>19</v>
      </c>
      <c r="I30" s="5" t="s">
        <v>20</v>
      </c>
      <c r="J30" s="5" t="s">
        <v>21</v>
      </c>
      <c r="K30" s="5" t="s">
        <v>22</v>
      </c>
      <c r="L30" s="5" t="s">
        <v>23</v>
      </c>
    </row>
    <row r="31" spans="1:12" x14ac:dyDescent="0.35">
      <c r="A31" s="1">
        <v>30</v>
      </c>
      <c r="B31" s="6" t="s">
        <v>0</v>
      </c>
      <c r="C31" s="7">
        <v>1</v>
      </c>
      <c r="D31" s="8" t="s">
        <v>3</v>
      </c>
      <c r="E31" s="9">
        <v>1825.96</v>
      </c>
      <c r="H31" s="5" t="s">
        <v>7</v>
      </c>
      <c r="I31" s="9">
        <f xml:space="preserve"> COUNTIFS(E2:E46,"&gt;= 1500", E2:E46, "&lt;1750")</f>
        <v>5</v>
      </c>
      <c r="J31" s="9">
        <f xml:space="preserve"> I31/$I$36</f>
        <v>0.1111111111111111</v>
      </c>
      <c r="K31" s="9">
        <f xml:space="preserve"> I31</f>
        <v>5</v>
      </c>
      <c r="L31" s="9">
        <f xml:space="preserve"> J31</f>
        <v>0.1111111111111111</v>
      </c>
    </row>
    <row r="32" spans="1:12" x14ac:dyDescent="0.35">
      <c r="A32" s="1">
        <v>31</v>
      </c>
      <c r="B32" s="6" t="s">
        <v>0</v>
      </c>
      <c r="C32" s="7">
        <v>0</v>
      </c>
      <c r="D32" s="8" t="s">
        <v>1</v>
      </c>
      <c r="E32" s="9">
        <v>2304.39</v>
      </c>
      <c r="H32" s="5" t="s">
        <v>8</v>
      </c>
      <c r="I32" s="9">
        <f xml:space="preserve"> COUNTIFS(E2:E46,"&gt;= 1750", E2:E46, "&lt;2100")</f>
        <v>14</v>
      </c>
      <c r="J32" s="9">
        <f t="shared" ref="J32:J35" si="3" xml:space="preserve"> I32/$I$36</f>
        <v>0.31111111111111112</v>
      </c>
      <c r="K32" s="9">
        <f xml:space="preserve"> K31 + I32</f>
        <v>19</v>
      </c>
      <c r="L32" s="9">
        <f xml:space="preserve"> L31+J32</f>
        <v>0.42222222222222222</v>
      </c>
    </row>
    <row r="33" spans="1:16" x14ac:dyDescent="0.35">
      <c r="A33" s="1">
        <v>32</v>
      </c>
      <c r="B33" s="6" t="s">
        <v>0</v>
      </c>
      <c r="C33" s="7">
        <v>2</v>
      </c>
      <c r="D33" s="8" t="s">
        <v>1</v>
      </c>
      <c r="E33" s="9">
        <v>2469.86</v>
      </c>
      <c r="H33" s="5" t="s">
        <v>9</v>
      </c>
      <c r="I33" s="9">
        <f xml:space="preserve"> COUNTIFS(E2:E46,"&gt;= 2100", E2:E46, "&lt;2500")</f>
        <v>16</v>
      </c>
      <c r="J33" s="9">
        <f t="shared" si="3"/>
        <v>0.35555555555555557</v>
      </c>
      <c r="K33" s="9">
        <f t="shared" ref="K33:K35" si="4" xml:space="preserve"> K32 + I33</f>
        <v>35</v>
      </c>
      <c r="L33" s="9">
        <f xml:space="preserve"> L32+J33</f>
        <v>0.77777777777777779</v>
      </c>
    </row>
    <row r="34" spans="1:16" x14ac:dyDescent="0.35">
      <c r="A34" s="1">
        <v>33</v>
      </c>
      <c r="B34" s="6" t="s">
        <v>2</v>
      </c>
      <c r="C34" s="7">
        <v>1</v>
      </c>
      <c r="D34" s="8" t="s">
        <v>1</v>
      </c>
      <c r="E34" s="9">
        <v>2119.34</v>
      </c>
      <c r="H34" s="5" t="s">
        <v>10</v>
      </c>
      <c r="I34" s="9">
        <f xml:space="preserve"> COUNTIFS(E2:E46,"&gt;= 2500", E2:E46, "&lt;2900")</f>
        <v>8</v>
      </c>
      <c r="J34" s="9">
        <f t="shared" si="3"/>
        <v>0.17777777777777778</v>
      </c>
      <c r="K34" s="9">
        <f t="shared" si="4"/>
        <v>43</v>
      </c>
      <c r="L34" s="9">
        <f t="shared" ref="L34:L35" si="5" xml:space="preserve"> L33+J34</f>
        <v>0.9555555555555556</v>
      </c>
    </row>
    <row r="35" spans="1:16" x14ac:dyDescent="0.35">
      <c r="A35" s="1">
        <v>34</v>
      </c>
      <c r="B35" s="6" t="s">
        <v>0</v>
      </c>
      <c r="C35" s="7">
        <v>1</v>
      </c>
      <c r="D35" s="8" t="s">
        <v>3</v>
      </c>
      <c r="E35" s="9">
        <v>3071.21</v>
      </c>
      <c r="H35" s="5" t="s">
        <v>11</v>
      </c>
      <c r="I35" s="9">
        <f xml:space="preserve"> COUNTIFS(E2:E46,"&gt;= 2900", E2:E46, "&lt;3200")</f>
        <v>2</v>
      </c>
      <c r="J35" s="9">
        <f t="shared" si="3"/>
        <v>4.4444444444444446E-2</v>
      </c>
      <c r="K35" s="9">
        <f t="shared" si="4"/>
        <v>45</v>
      </c>
      <c r="L35" s="9">
        <f t="shared" si="5"/>
        <v>1</v>
      </c>
    </row>
    <row r="36" spans="1:16" x14ac:dyDescent="0.35">
      <c r="A36" s="1">
        <v>35</v>
      </c>
      <c r="B36" s="6" t="s">
        <v>2</v>
      </c>
      <c r="C36" s="7">
        <v>1</v>
      </c>
      <c r="D36" s="8" t="s">
        <v>3</v>
      </c>
      <c r="E36" s="9">
        <v>2528.3200000000002</v>
      </c>
      <c r="H36" s="5" t="s">
        <v>12</v>
      </c>
      <c r="I36" s="9">
        <f xml:space="preserve"> SUM(I31:I35)</f>
        <v>45</v>
      </c>
      <c r="J36" s="9">
        <f xml:space="preserve"> SUM(J31:J35)</f>
        <v>1</v>
      </c>
      <c r="K36" s="9"/>
      <c r="L36" s="9"/>
    </row>
    <row r="37" spans="1:16" x14ac:dyDescent="0.35">
      <c r="A37" s="1">
        <v>36</v>
      </c>
      <c r="B37" s="6" t="s">
        <v>2</v>
      </c>
      <c r="C37" s="7">
        <v>2</v>
      </c>
      <c r="D37" s="8" t="s">
        <v>1</v>
      </c>
      <c r="E37" s="9">
        <v>2011.97</v>
      </c>
    </row>
    <row r="38" spans="1:16" x14ac:dyDescent="0.35">
      <c r="A38" s="1">
        <v>37</v>
      </c>
      <c r="B38" s="6" t="s">
        <v>0</v>
      </c>
      <c r="C38" s="7">
        <v>2</v>
      </c>
      <c r="D38" s="8" t="s">
        <v>1</v>
      </c>
      <c r="E38" s="9">
        <v>2042.77</v>
      </c>
    </row>
    <row r="39" spans="1:16" x14ac:dyDescent="0.35">
      <c r="A39" s="1">
        <v>38</v>
      </c>
      <c r="B39" s="6" t="s">
        <v>2</v>
      </c>
      <c r="C39" s="7">
        <v>0</v>
      </c>
      <c r="D39" s="8" t="s">
        <v>3</v>
      </c>
      <c r="E39" s="9">
        <v>2686.19</v>
      </c>
      <c r="H39" s="15" t="s">
        <v>29</v>
      </c>
      <c r="M39" s="10" t="s">
        <v>32</v>
      </c>
    </row>
    <row r="40" spans="1:16" x14ac:dyDescent="0.35">
      <c r="A40" s="1">
        <v>39</v>
      </c>
      <c r="B40" s="6" t="s">
        <v>2</v>
      </c>
      <c r="C40" s="7">
        <v>1</v>
      </c>
      <c r="D40" s="8" t="s">
        <v>1</v>
      </c>
      <c r="E40" s="9">
        <v>2067.7399999999998</v>
      </c>
      <c r="H40" s="17">
        <v>1500</v>
      </c>
      <c r="I40" s="6">
        <v>0</v>
      </c>
      <c r="M40" s="5" t="s">
        <v>19</v>
      </c>
      <c r="N40" s="5" t="s">
        <v>20</v>
      </c>
      <c r="O40" s="5" t="s">
        <v>30</v>
      </c>
      <c r="P40" s="5" t="s">
        <v>31</v>
      </c>
    </row>
    <row r="41" spans="1:16" x14ac:dyDescent="0.35">
      <c r="A41" s="1">
        <v>40</v>
      </c>
      <c r="B41" s="6" t="s">
        <v>2</v>
      </c>
      <c r="C41" s="7">
        <v>3</v>
      </c>
      <c r="D41" s="8" t="s">
        <v>1</v>
      </c>
      <c r="E41" s="9">
        <v>1957.48</v>
      </c>
      <c r="H41" s="17">
        <v>1750</v>
      </c>
      <c r="I41" s="16">
        <v>0.1111111111111111</v>
      </c>
      <c r="M41" s="5" t="s">
        <v>7</v>
      </c>
      <c r="N41" s="9">
        <v>5</v>
      </c>
      <c r="O41" s="9">
        <v>250</v>
      </c>
      <c r="P41" s="9">
        <f xml:space="preserve"> N41/O41</f>
        <v>0.02</v>
      </c>
    </row>
    <row r="42" spans="1:16" x14ac:dyDescent="0.35">
      <c r="A42" s="1">
        <v>41</v>
      </c>
      <c r="B42" s="6" t="s">
        <v>0</v>
      </c>
      <c r="C42" s="7">
        <v>4</v>
      </c>
      <c r="D42" s="8" t="s">
        <v>4</v>
      </c>
      <c r="E42" s="9">
        <v>2823.24</v>
      </c>
      <c r="H42" s="17">
        <v>2100</v>
      </c>
      <c r="I42" s="16">
        <v>0.42222222222222222</v>
      </c>
      <c r="M42" s="5" t="s">
        <v>8</v>
      </c>
      <c r="N42" s="9">
        <v>14</v>
      </c>
      <c r="O42" s="9">
        <v>350</v>
      </c>
      <c r="P42" s="9">
        <f t="shared" ref="P42:P44" si="6" xml:space="preserve"> N42/O42</f>
        <v>0.04</v>
      </c>
    </row>
    <row r="43" spans="1:16" x14ac:dyDescent="0.35">
      <c r="A43" s="1">
        <v>42</v>
      </c>
      <c r="B43" s="6" t="s">
        <v>0</v>
      </c>
      <c r="C43" s="7">
        <v>2</v>
      </c>
      <c r="D43" s="8" t="s">
        <v>1</v>
      </c>
      <c r="E43" s="9">
        <v>1650.5</v>
      </c>
      <c r="H43" s="17">
        <v>2500</v>
      </c>
      <c r="I43" s="16">
        <v>0.77777777777777779</v>
      </c>
      <c r="M43" s="5" t="s">
        <v>9</v>
      </c>
      <c r="N43" s="9">
        <v>16</v>
      </c>
      <c r="O43" s="9">
        <v>400</v>
      </c>
      <c r="P43" s="9">
        <f t="shared" si="6"/>
        <v>0.04</v>
      </c>
    </row>
    <row r="44" spans="1:16" x14ac:dyDescent="0.35">
      <c r="A44" s="1">
        <v>43</v>
      </c>
      <c r="B44" s="6" t="s">
        <v>0</v>
      </c>
      <c r="C44" s="7">
        <v>3</v>
      </c>
      <c r="D44" s="8" t="s">
        <v>3</v>
      </c>
      <c r="E44" s="9">
        <v>3136.08</v>
      </c>
      <c r="H44" s="17">
        <v>2900</v>
      </c>
      <c r="I44" s="16">
        <v>0.9555555555555556</v>
      </c>
      <c r="M44" s="5" t="s">
        <v>10</v>
      </c>
      <c r="N44" s="9">
        <v>8</v>
      </c>
      <c r="O44" s="9">
        <v>400</v>
      </c>
      <c r="P44" s="9">
        <f t="shared" si="6"/>
        <v>0.02</v>
      </c>
    </row>
    <row r="45" spans="1:16" x14ac:dyDescent="0.35">
      <c r="A45" s="1">
        <v>44</v>
      </c>
      <c r="B45" s="6" t="s">
        <v>0</v>
      </c>
      <c r="C45" s="7">
        <v>1</v>
      </c>
      <c r="D45" s="8" t="s">
        <v>1</v>
      </c>
      <c r="E45" s="9">
        <v>2024.03</v>
      </c>
      <c r="H45" s="17">
        <v>3200</v>
      </c>
      <c r="I45" s="16">
        <v>1</v>
      </c>
      <c r="M45" s="5" t="s">
        <v>11</v>
      </c>
      <c r="N45" s="9">
        <v>2</v>
      </c>
      <c r="O45" s="9">
        <v>300</v>
      </c>
      <c r="P45" s="9">
        <v>6.6666666666666671E-3</v>
      </c>
    </row>
    <row r="46" spans="1:16" x14ac:dyDescent="0.35">
      <c r="A46" s="1">
        <v>45</v>
      </c>
      <c r="B46" s="6" t="s">
        <v>2</v>
      </c>
      <c r="C46" s="7">
        <v>2</v>
      </c>
      <c r="D46" s="8" t="s">
        <v>1</v>
      </c>
      <c r="E46" s="9">
        <v>1803.14</v>
      </c>
      <c r="M46" s="5" t="s">
        <v>12</v>
      </c>
      <c r="N46" s="9">
        <v>45</v>
      </c>
      <c r="O46" s="9"/>
      <c r="P46" s="9"/>
    </row>
    <row r="47" spans="1:16" x14ac:dyDescent="0.35">
      <c r="H47" s="15" t="s">
        <v>33</v>
      </c>
    </row>
    <row r="48" spans="1:16" x14ac:dyDescent="0.35">
      <c r="A48" s="13" t="s">
        <v>24</v>
      </c>
      <c r="H48">
        <v>0</v>
      </c>
      <c r="I48">
        <f>J19</f>
        <v>0.13333333333333333</v>
      </c>
    </row>
    <row r="49" spans="1:14" x14ac:dyDescent="0.35">
      <c r="A49" s="1">
        <f>COUNT(A2:A46)</f>
        <v>45</v>
      </c>
      <c r="B49" s="20">
        <f>COUNTA(B2:B46)</f>
        <v>45</v>
      </c>
      <c r="C49" s="21">
        <f>COUNT(C2:C46)</f>
        <v>45</v>
      </c>
      <c r="D49" s="22">
        <f>COUNTA(D2:D46)</f>
        <v>45</v>
      </c>
      <c r="E49" s="23">
        <f>COUNT(E2:E46)</f>
        <v>45</v>
      </c>
      <c r="H49">
        <v>1</v>
      </c>
      <c r="I49">
        <f>J19</f>
        <v>0.13333333333333333</v>
      </c>
      <c r="M49">
        <v>1500</v>
      </c>
      <c r="N49" s="19">
        <v>0</v>
      </c>
    </row>
    <row r="50" spans="1:14" x14ac:dyDescent="0.35">
      <c r="H50">
        <v>1</v>
      </c>
      <c r="I50">
        <f xml:space="preserve"> L31+J32</f>
        <v>0.42222222222222222</v>
      </c>
      <c r="M50">
        <v>1500</v>
      </c>
      <c r="N50">
        <f xml:space="preserve"> P41</f>
        <v>0.02</v>
      </c>
    </row>
    <row r="51" spans="1:14" x14ac:dyDescent="0.35">
      <c r="H51">
        <v>2</v>
      </c>
      <c r="I51">
        <f xml:space="preserve"> L31+J32</f>
        <v>0.42222222222222222</v>
      </c>
      <c r="M51">
        <v>1750</v>
      </c>
      <c r="N51">
        <v>0.02</v>
      </c>
    </row>
    <row r="52" spans="1:14" x14ac:dyDescent="0.35">
      <c r="H52">
        <v>2</v>
      </c>
      <c r="I52">
        <f xml:space="preserve"> L20+J21</f>
        <v>0.75555555555555554</v>
      </c>
      <c r="M52">
        <v>1750</v>
      </c>
      <c r="N52">
        <v>0</v>
      </c>
    </row>
    <row r="53" spans="1:14" x14ac:dyDescent="0.35">
      <c r="H53">
        <v>3</v>
      </c>
      <c r="I53">
        <f xml:space="preserve"> L20+J21</f>
        <v>0.75555555555555554</v>
      </c>
      <c r="M53">
        <v>1750</v>
      </c>
      <c r="N53">
        <f>P42</f>
        <v>0.04</v>
      </c>
    </row>
    <row r="54" spans="1:14" x14ac:dyDescent="0.35">
      <c r="H54">
        <v>3</v>
      </c>
      <c r="I54">
        <f xml:space="preserve"> L21+J22</f>
        <v>0.91111111111111109</v>
      </c>
      <c r="M54">
        <v>2100</v>
      </c>
      <c r="N54">
        <v>0.04</v>
      </c>
    </row>
    <row r="55" spans="1:14" x14ac:dyDescent="0.35">
      <c r="H55">
        <v>4</v>
      </c>
      <c r="I55">
        <f xml:space="preserve"> L21+J22</f>
        <v>0.91111111111111109</v>
      </c>
      <c r="M55">
        <v>2100</v>
      </c>
      <c r="N55">
        <v>0</v>
      </c>
    </row>
    <row r="56" spans="1:14" x14ac:dyDescent="0.35">
      <c r="H56">
        <v>4</v>
      </c>
      <c r="I56">
        <f xml:space="preserve"> L22+J23</f>
        <v>0.97777777777777775</v>
      </c>
      <c r="M56">
        <v>2100</v>
      </c>
      <c r="N56">
        <f>P43</f>
        <v>0.04</v>
      </c>
    </row>
    <row r="57" spans="1:14" x14ac:dyDescent="0.35">
      <c r="H57">
        <v>5</v>
      </c>
      <c r="I57">
        <f xml:space="preserve"> L22+J23</f>
        <v>0.97777777777777775</v>
      </c>
      <c r="M57">
        <v>2500</v>
      </c>
      <c r="N57">
        <v>0.04</v>
      </c>
    </row>
    <row r="58" spans="1:14" x14ac:dyDescent="0.35">
      <c r="H58">
        <v>5</v>
      </c>
      <c r="I58">
        <v>1</v>
      </c>
      <c r="M58">
        <v>2500</v>
      </c>
      <c r="N58">
        <v>0</v>
      </c>
    </row>
    <row r="59" spans="1:14" x14ac:dyDescent="0.35">
      <c r="M59">
        <v>2500</v>
      </c>
      <c r="N59">
        <f xml:space="preserve"> P44</f>
        <v>0.02</v>
      </c>
    </row>
    <row r="60" spans="1:14" x14ac:dyDescent="0.35">
      <c r="H60" s="10" t="s">
        <v>34</v>
      </c>
      <c r="M60">
        <v>2900</v>
      </c>
      <c r="N60">
        <v>0.02</v>
      </c>
    </row>
    <row r="61" spans="1:14" x14ac:dyDescent="0.35">
      <c r="M61">
        <v>2900</v>
      </c>
      <c r="N61">
        <v>0</v>
      </c>
    </row>
    <row r="62" spans="1:14" x14ac:dyDescent="0.35">
      <c r="H62" s="24" t="s">
        <v>19</v>
      </c>
      <c r="I62" s="25" t="s">
        <v>37</v>
      </c>
      <c r="M62">
        <v>2900</v>
      </c>
      <c r="N62">
        <f>N63</f>
        <v>6.6666666666666671E-3</v>
      </c>
    </row>
    <row r="63" spans="1:14" x14ac:dyDescent="0.35">
      <c r="H63" s="25" t="s">
        <v>0</v>
      </c>
      <c r="I63" s="26">
        <v>25</v>
      </c>
      <c r="M63">
        <v>3200</v>
      </c>
      <c r="N63" s="18">
        <v>6.6666666666666671E-3</v>
      </c>
    </row>
    <row r="64" spans="1:14" x14ac:dyDescent="0.35">
      <c r="H64" s="25" t="s">
        <v>2</v>
      </c>
      <c r="I64" s="26">
        <v>20</v>
      </c>
      <c r="M64">
        <v>3200</v>
      </c>
      <c r="N64">
        <v>0</v>
      </c>
    </row>
    <row r="65" spans="8:9" x14ac:dyDescent="0.35">
      <c r="H65" s="25" t="s">
        <v>13</v>
      </c>
      <c r="I65" s="26">
        <v>45</v>
      </c>
    </row>
    <row r="68" spans="8:9" x14ac:dyDescent="0.35">
      <c r="H68" s="10" t="s">
        <v>35</v>
      </c>
    </row>
    <row r="70" spans="8:9" x14ac:dyDescent="0.35">
      <c r="H70" s="24" t="s">
        <v>19</v>
      </c>
      <c r="I70" s="25" t="s">
        <v>37</v>
      </c>
    </row>
    <row r="71" spans="8:9" x14ac:dyDescent="0.35">
      <c r="H71" s="25" t="s">
        <v>4</v>
      </c>
      <c r="I71" s="26">
        <v>5</v>
      </c>
    </row>
    <row r="72" spans="8:9" x14ac:dyDescent="0.35">
      <c r="H72" s="25" t="s">
        <v>1</v>
      </c>
      <c r="I72" s="26">
        <v>27</v>
      </c>
    </row>
    <row r="73" spans="8:9" x14ac:dyDescent="0.35">
      <c r="H73" s="25" t="s">
        <v>3</v>
      </c>
      <c r="I73" s="26">
        <v>13</v>
      </c>
    </row>
    <row r="74" spans="8:9" x14ac:dyDescent="0.35">
      <c r="H74" s="25" t="s">
        <v>13</v>
      </c>
      <c r="I74" s="26">
        <v>45</v>
      </c>
    </row>
    <row r="77" spans="8:9" x14ac:dyDescent="0.35">
      <c r="H77" s="10" t="s">
        <v>36</v>
      </c>
    </row>
    <row r="79" spans="8:9" x14ac:dyDescent="0.35">
      <c r="H79" s="24" t="s">
        <v>6</v>
      </c>
      <c r="I79" s="25" t="s">
        <v>37</v>
      </c>
    </row>
    <row r="80" spans="8:9" x14ac:dyDescent="0.35">
      <c r="H80" s="25">
        <v>0</v>
      </c>
      <c r="I80" s="26">
        <v>6</v>
      </c>
    </row>
    <row r="81" spans="8:9" x14ac:dyDescent="0.35">
      <c r="H81" s="25">
        <v>1</v>
      </c>
      <c r="I81" s="26">
        <v>13</v>
      </c>
    </row>
    <row r="82" spans="8:9" x14ac:dyDescent="0.35">
      <c r="H82" s="25">
        <v>2</v>
      </c>
      <c r="I82" s="26">
        <v>15</v>
      </c>
    </row>
    <row r="83" spans="8:9" x14ac:dyDescent="0.35">
      <c r="H83" s="25">
        <v>3</v>
      </c>
      <c r="I83" s="26">
        <v>7</v>
      </c>
    </row>
    <row r="84" spans="8:9" x14ac:dyDescent="0.35">
      <c r="H84" s="25">
        <v>4</v>
      </c>
      <c r="I84" s="26">
        <v>3</v>
      </c>
    </row>
    <row r="85" spans="8:9" x14ac:dyDescent="0.35">
      <c r="H85" s="25">
        <v>5</v>
      </c>
      <c r="I85" s="26">
        <v>1</v>
      </c>
    </row>
    <row r="86" spans="8:9" x14ac:dyDescent="0.35">
      <c r="H86" s="25" t="s">
        <v>13</v>
      </c>
      <c r="I86" s="26">
        <v>45</v>
      </c>
    </row>
    <row r="88" spans="8:9" x14ac:dyDescent="0.35">
      <c r="H88" s="10"/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1726-8DC7-49C5-99D8-3B3D449E6A00}">
  <dimension ref="A1"/>
  <sheetViews>
    <sheetView workbookViewId="0">
      <selection activeCell="B11" sqref="B11"/>
    </sheetView>
  </sheetViews>
  <sheetFormatPr defaultColWidth="10.90625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CBFE46-78C1-4A56-B3F2-400ED6922067}"/>
</file>

<file path=customXml/itemProps2.xml><?xml version="1.0" encoding="utf-8"?>
<ds:datastoreItem xmlns:ds="http://schemas.openxmlformats.org/officeDocument/2006/customXml" ds:itemID="{BA7F2B02-8FFC-43B7-8C84-7340596CBE9F}"/>
</file>

<file path=customXml/itemProps3.xml><?xml version="1.0" encoding="utf-8"?>
<ds:datastoreItem xmlns:ds="http://schemas.openxmlformats.org/officeDocument/2006/customXml" ds:itemID="{FD3BE3BA-B71D-4984-B514-4EB8D0DC82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2021-10-01T09:54:11Z</dcterms:created>
  <dcterms:modified xsi:type="dcterms:W3CDTF">2021-11-10T15:07:52Z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