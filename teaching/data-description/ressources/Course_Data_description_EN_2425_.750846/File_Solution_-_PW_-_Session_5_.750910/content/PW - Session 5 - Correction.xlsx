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5\EN\"/>
    </mc:Choice>
  </mc:AlternateContent>
  <xr:revisionPtr revIDLastSave="0" documentId="13_ncr:1_{220F06C4-62D7-45D7-B4A7-8BF7C2FCC43C}" xr6:coauthVersionLast="47" xr6:coauthVersionMax="47" xr10:uidLastSave="{00000000-0000-0000-0000-000000000000}"/>
  <bookViews>
    <workbookView xWindow="-110" yWindow="-110" windowWidth="19420" windowHeight="10420" xr2:uid="{A7722720-1A02-495D-89FC-CF5CC9A178C5}"/>
  </bookViews>
  <sheets>
    <sheet name="Semester 1" sheetId="1" r:id="rId1"/>
    <sheet name="Graphs - S1" sheetId="2" r:id="rId2"/>
    <sheet name="Semester 2" sheetId="4" r:id="rId3"/>
    <sheet name="Graphs - S2" sheetId="5" r:id="rId4"/>
  </sheets>
  <definedNames>
    <definedName name="_xlchart.v1.0" hidden="1">'Semester 1'!$C$2:$C$46</definedName>
    <definedName name="_xlchart.v1.1" hidden="1">'Semester 1'!$B$1</definedName>
    <definedName name="_xlchart.v1.2" hidden="1">'Semester 1'!$B$2:$B$46</definedName>
    <definedName name="_xlchart.v1.3" hidden="1">'Semester 1'!$C$1</definedName>
    <definedName name="_xlchart.v1.4" hidden="1">'Semester 1'!$C$2:$C$46</definedName>
    <definedName name="_xlchart.v1.5" hidden="1">'Semester 1'!$B$2:$B$46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9" i="1"/>
  <c r="E2" i="5" l="1"/>
  <c r="G24" i="1"/>
  <c r="G6" i="1"/>
  <c r="G7" i="1"/>
  <c r="G20" i="1"/>
  <c r="E24" i="5"/>
  <c r="E23" i="5"/>
  <c r="E22" i="5"/>
  <c r="E21" i="5"/>
  <c r="E20" i="5"/>
  <c r="E5" i="5"/>
  <c r="E4" i="5"/>
  <c r="E3" i="5"/>
  <c r="E1" i="5"/>
  <c r="K28" i="4"/>
  <c r="K29" i="4"/>
  <c r="K30" i="4"/>
  <c r="K31" i="4"/>
  <c r="K32" i="4"/>
  <c r="K27" i="4"/>
  <c r="J29" i="4"/>
  <c r="J30" i="4" s="1"/>
  <c r="J31" i="4" s="1"/>
  <c r="J32" i="4" s="1"/>
  <c r="J28" i="4"/>
  <c r="J27" i="4"/>
  <c r="I33" i="4"/>
  <c r="I28" i="4"/>
  <c r="I29" i="4"/>
  <c r="I30" i="4"/>
  <c r="I31" i="4"/>
  <c r="I32" i="4"/>
  <c r="I27" i="4"/>
  <c r="G33" i="4"/>
  <c r="K5" i="4"/>
  <c r="K6" i="4"/>
  <c r="K7" i="4"/>
  <c r="K8" i="4"/>
  <c r="K9" i="4"/>
  <c r="K4" i="4"/>
  <c r="J6" i="4"/>
  <c r="J7" i="4" s="1"/>
  <c r="J8" i="4" s="1"/>
  <c r="J9" i="4" s="1"/>
  <c r="J5" i="4"/>
  <c r="J4" i="4"/>
  <c r="I10" i="4"/>
  <c r="I5" i="4"/>
  <c r="I6" i="4"/>
  <c r="I7" i="4"/>
  <c r="I8" i="4"/>
  <c r="I9" i="4"/>
  <c r="I4" i="4"/>
  <c r="G10" i="4"/>
  <c r="G23" i="1"/>
  <c r="G22" i="1"/>
  <c r="G21" i="1"/>
  <c r="G10" i="1"/>
  <c r="G9" i="1"/>
  <c r="G11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G13" i="1" l="1"/>
  <c r="G26" i="1"/>
</calcChain>
</file>

<file path=xl/sharedStrings.xml><?xml version="1.0" encoding="utf-8"?>
<sst xmlns="http://schemas.openxmlformats.org/spreadsheetml/2006/main" count="115" uniqueCount="55">
  <si>
    <t>Maximum</t>
  </si>
  <si>
    <t xml:space="preserve">Minimum </t>
  </si>
  <si>
    <t>[5 ; 7[</t>
  </si>
  <si>
    <t>a_i</t>
  </si>
  <si>
    <t>f_i</t>
  </si>
  <si>
    <t>n_i^+</t>
  </si>
  <si>
    <t>f_i^+</t>
  </si>
  <si>
    <t>[7 ; 10[</t>
  </si>
  <si>
    <t>[10 ; 14[</t>
  </si>
  <si>
    <t>[14 ; 18[</t>
  </si>
  <si>
    <t>Total</t>
  </si>
  <si>
    <t>Premier quartile (q1)</t>
  </si>
  <si>
    <t>Médiane (mé)</t>
  </si>
  <si>
    <t>Troisième quartile (q3)</t>
  </si>
  <si>
    <t>Pivot gauche (pg)</t>
  </si>
  <si>
    <t>Pivot droit (pd)</t>
  </si>
  <si>
    <t>Limte droite (ld)</t>
  </si>
  <si>
    <t>Limite gauche (lg)</t>
  </si>
  <si>
    <t>lg</t>
  </si>
  <si>
    <t>q1 - lg</t>
  </si>
  <si>
    <t>me - q1</t>
  </si>
  <si>
    <t>q3 - me</t>
  </si>
  <si>
    <t>ld - q3</t>
  </si>
  <si>
    <t>Student</t>
  </si>
  <si>
    <t>Mid-Term Exam</t>
  </si>
  <si>
    <t>Continuous Assessment</t>
  </si>
  <si>
    <t>First quartile</t>
  </si>
  <si>
    <t>Median</t>
  </si>
  <si>
    <t xml:space="preserve">Third quartile </t>
  </si>
  <si>
    <t>Left Pivot</t>
  </si>
  <si>
    <t>Left limt</t>
  </si>
  <si>
    <t>Right Pivot</t>
  </si>
  <si>
    <t>Right limit</t>
  </si>
  <si>
    <t xml:space="preserve">Table 1: Summaries - "Mid-term Exam" variable </t>
  </si>
  <si>
    <t xml:space="preserve">Table 2: Summaries - "Continuous Assessment" variable </t>
  </si>
  <si>
    <t>Equal to the Minimum</t>
  </si>
  <si>
    <t>Equal to the Maximum</t>
  </si>
  <si>
    <t>NOT Equal to the Minimum</t>
  </si>
  <si>
    <t>NOT Equal to the Maximum</t>
  </si>
  <si>
    <t>Less than 5</t>
  </si>
  <si>
    <t>More than 18</t>
  </si>
  <si>
    <t>Number of students</t>
  </si>
  <si>
    <t xml:space="preserve">Table 1: operations - Data associated to the "Mid-term Exam" variable </t>
  </si>
  <si>
    <t>Table 2 : quartiles / pivots / limits - data associated with the variable "Mid-Term Exam"</t>
  </si>
  <si>
    <t>First quartile (q1)</t>
  </si>
  <si>
    <t>Median (Me)</t>
  </si>
  <si>
    <t>Third quartile (q3)</t>
  </si>
  <si>
    <t>Left Pivot (pg)</t>
  </si>
  <si>
    <t>Right Pivot (pd)</t>
  </si>
  <si>
    <t>Left limit (lg)</t>
  </si>
  <si>
    <t>Right limit (ld)</t>
  </si>
  <si>
    <t>equal to left limit by convention</t>
  </si>
  <si>
    <t>equal to right limit by convention</t>
  </si>
  <si>
    <t>Table 4 : quartiles / pivots / limits - data associated with the variable "Continuous Assessment"</t>
  </si>
  <si>
    <t xml:space="preserve">Table 3 : operations - Data associated to the "Continuous Assessment" variable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</si>
</sst>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4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Alignment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1" fillId="3" borderId="1" xfId="0" applyFont="1" applyFill="1" applyBorder="1"/>
    <xf numFmtId="0" fontId="3" fillId="3" borderId="1" xfId="0" applyFont="1" applyFill="1" applyBorder="1"/>
    <xf numFmtId="0" fontId="1" fillId="2" borderId="1" xfId="0" applyFont="1" applyFill="1" applyBorder="1"/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Grade Mid Term</a:t>
            </a:r>
            <a:r>
              <a:rPr lang="fr-FR" baseline="0"/>
              <a:t> </a:t>
            </a:r>
            <a:r>
              <a:rPr lang="fr-FR"/>
              <a:t>-</a:t>
            </a:r>
            <a:r>
              <a:rPr lang="fr-FR" baseline="0"/>
              <a:t> Semester 2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'Graphs - S2'!$D$1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val>
            <c:numRef>
              <c:f>'Graphs - S2'!$E$1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F-4CB7-BF74-B8C88B454947}"/>
            </c:ext>
          </c:extLst>
        </c:ser>
        <c:ser>
          <c:idx val="1"/>
          <c:order val="1"/>
          <c:tx>
            <c:strRef>
              <c:f>'Graphs - S2'!$D$2</c:f>
              <c:strCache>
                <c:ptCount val="1"/>
                <c:pt idx="0">
                  <c:v>q1 - lg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val>
            <c:numRef>
              <c:f>'Graphs - S2'!$E$2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2F-4CB7-BF74-B8C88B454947}"/>
            </c:ext>
          </c:extLst>
        </c:ser>
        <c:ser>
          <c:idx val="2"/>
          <c:order val="2"/>
          <c:tx>
            <c:strRef>
              <c:f>'Graphs - S2'!$D$3</c:f>
              <c:strCache>
                <c:ptCount val="1"/>
                <c:pt idx="0">
                  <c:v>me - 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2F-4CB7-BF74-B8C88B454947}"/>
              </c:ext>
            </c:extLst>
          </c:dPt>
          <c:val>
            <c:numRef>
              <c:f>'Graphs - S2'!$E$3</c:f>
              <c:numCache>
                <c:formatCode>General</c:formatCode>
                <c:ptCount val="1"/>
                <c:pt idx="0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2F-4CB7-BF74-B8C88B454947}"/>
            </c:ext>
          </c:extLst>
        </c:ser>
        <c:ser>
          <c:idx val="3"/>
          <c:order val="3"/>
          <c:tx>
            <c:strRef>
              <c:f>'Graphs - S2'!$D$4</c:f>
              <c:strCache>
                <c:ptCount val="1"/>
                <c:pt idx="0">
                  <c:v>q3 - me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0070C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F2F-4CB7-BF74-B8C88B454947}"/>
              </c:ext>
            </c:extLst>
          </c:dPt>
          <c:val>
            <c:numRef>
              <c:f>'Graphs - S2'!$E$4</c:f>
              <c:numCache>
                <c:formatCode>General</c:formatCode>
                <c:ptCount val="1"/>
                <c:pt idx="0">
                  <c:v>3.8333333333333339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2F-4CB7-BF74-B8C88B454947}"/>
            </c:ext>
          </c:extLst>
        </c:ser>
        <c:ser>
          <c:idx val="4"/>
          <c:order val="4"/>
          <c:tx>
            <c:strRef>
              <c:f>'Graphs - S2'!$D$5</c:f>
              <c:strCache>
                <c:ptCount val="1"/>
                <c:pt idx="0">
                  <c:v>ld - q3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'Graphs - S2'!$E$5</c:f>
              <c:numCache>
                <c:formatCode>General</c:formatCode>
                <c:ptCount val="1"/>
                <c:pt idx="0">
                  <c:v>5.6666666666666661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2F-4CB7-BF74-B8C88B454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088399"/>
        <c:axId val="162087151"/>
      </c:barChart>
      <c:catAx>
        <c:axId val="16208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7151"/>
        <c:crosses val="autoZero"/>
        <c:auto val="1"/>
        <c:lblAlgn val="ctr"/>
        <c:lblOffset val="100"/>
        <c:noMultiLvlLbl val="0"/>
      </c:catAx>
      <c:valAx>
        <c:axId val="16208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Grade Continuous Assessment - Semester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'Graphs - S2'!$D$20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val>
            <c:numRef>
              <c:f>'Graphs - S2'!$E$20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0-4162-B0C0-C5EB1B36F5DA}"/>
            </c:ext>
          </c:extLst>
        </c:ser>
        <c:ser>
          <c:idx val="1"/>
          <c:order val="1"/>
          <c:tx>
            <c:strRef>
              <c:f>'Graphs - S2'!$D$21</c:f>
              <c:strCache>
                <c:ptCount val="1"/>
                <c:pt idx="0">
                  <c:v>q1 - lg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'Graphs - S2'!$E$21</c:f>
              <c:numCache>
                <c:formatCode>General</c:formatCode>
                <c:ptCount val="1"/>
                <c:pt idx="0">
                  <c:v>4.083333333333333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90-4162-B0C0-C5EB1B36F5DA}"/>
            </c:ext>
          </c:extLst>
        </c:ser>
        <c:ser>
          <c:idx val="2"/>
          <c:order val="2"/>
          <c:tx>
            <c:strRef>
              <c:f>'Graphs - S2'!$D$22</c:f>
              <c:strCache>
                <c:ptCount val="1"/>
                <c:pt idx="0">
                  <c:v>me - q1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tx1"/>
              </a:solidFill>
            </a:ln>
            <a:effectLst/>
          </c:spPr>
          <c:invertIfNegative val="0"/>
          <c:val>
            <c:numRef>
              <c:f>'Graphs - S2'!$E$22</c:f>
              <c:numCache>
                <c:formatCode>General</c:formatCode>
                <c:ptCount val="1"/>
                <c:pt idx="0">
                  <c:v>3.685897435897437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90-4162-B0C0-C5EB1B36F5DA}"/>
            </c:ext>
          </c:extLst>
        </c:ser>
        <c:ser>
          <c:idx val="3"/>
          <c:order val="3"/>
          <c:tx>
            <c:strRef>
              <c:f>'Graphs - S2'!$D$23</c:f>
              <c:strCache>
                <c:ptCount val="1"/>
                <c:pt idx="0">
                  <c:v>q3 - me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tx1"/>
              </a:solidFill>
            </a:ln>
            <a:effectLst/>
          </c:spPr>
          <c:invertIfNegative val="0"/>
          <c:val>
            <c:numRef>
              <c:f>'Graphs - S2'!$E$23</c:f>
              <c:numCache>
                <c:formatCode>General</c:formatCode>
                <c:ptCount val="1"/>
                <c:pt idx="0">
                  <c:v>3.5307692307692307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90-4162-B0C0-C5EB1B36F5DA}"/>
            </c:ext>
          </c:extLst>
        </c:ser>
        <c:ser>
          <c:idx val="4"/>
          <c:order val="4"/>
          <c:tx>
            <c:strRef>
              <c:f>'Graphs - S2'!$D$24</c:f>
              <c:strCache>
                <c:ptCount val="1"/>
                <c:pt idx="0">
                  <c:v>ld - q3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'Graphs - S2'!$E$24</c:f>
              <c:numCache>
                <c:formatCode>General</c:formatCode>
                <c:ptCount val="1"/>
                <c:pt idx="0">
                  <c:v>5.6999999999999993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90-4162-B0C0-C5EB1B36F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69599"/>
        <c:axId val="91059615"/>
      </c:barChart>
      <c:catAx>
        <c:axId val="9106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059615"/>
        <c:crosses val="autoZero"/>
        <c:auto val="1"/>
        <c:lblAlgn val="ctr"/>
        <c:lblOffset val="100"/>
        <c:noMultiLvlLbl val="0"/>
      </c:catAx>
      <c:valAx>
        <c:axId val="910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06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Boîte à moustache - Note EI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Boîte à moustache - Note EI</a:t>
          </a:r>
        </a:p>
      </cx:txPr>
    </cx:title>
    <cx:plotArea>
      <cx:plotAreaRegion>
        <cx:series layoutId="boxWhisker" uniqueId="{6850DBA3-90A6-44CC-99F1-FB5393769E1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 Plot - Continuous Assessment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- Continuous Assessment</a:t>
          </a:r>
        </a:p>
      </cx:txPr>
    </cx:title>
    <cx:plotArea>
      <cx:plotAreaRegion>
        <cx:series layoutId="boxWhisker" uniqueId="{A91CA226-0A67-4312-87D9-D8465B18F7D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</cx:chartData>
  <cx:chart>
    <cx:title pos="t" align="ctr" overlay="0">
      <cx:tx>
        <cx:txData>
          <cx:v>GRADE 1ST semestER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GRADE 1ST semestER</a:t>
          </a:r>
        </a:p>
      </cx:txPr>
    </cx:title>
    <cx:plotArea>
      <cx:plotAreaRegion>
        <cx:series layoutId="boxWhisker" uniqueId="{941D8E5C-1A8E-4620-A2DD-5DC543799DC2}">
          <cx:tx>
            <cx:txData>
              <cx:f>_xlchart.v1.1</cx:f>
              <cx:v>Mid-Term Exam</cx:v>
            </cx:txData>
          </cx:tx>
          <cx:dataId val="0"/>
          <cx:layoutPr>
            <cx:visibility meanLine="1" meanMarker="0" nonoutliers="0" outliers="1"/>
            <cx:statistics quartileMethod="exclusive"/>
          </cx:layoutPr>
        </cx:series>
        <cx:series layoutId="boxWhisker" uniqueId="{5DD88FC7-15D5-4F6B-AF5B-A4C310BA58D9}">
          <cx:tx>
            <cx:txData>
              <cx:f>_xlchart.v1.3</cx:f>
              <cx:v>Continuous Assessment</cx:v>
            </cx:txData>
          </cx:tx>
          <cx:dataId val="1"/>
          <cx:layoutPr>
            <cx:visibility meanLine="1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86F56FC5-89F3-4A30-BEB4-4E66E0BF24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6</xdr:col>
      <xdr:colOff>12700</xdr:colOff>
      <xdr:row>0</xdr:row>
      <xdr:rowOff>0</xdr:rowOff>
    </xdr:from>
    <xdr:to>
      <xdr:col>12</xdr:col>
      <xdr:colOff>12700</xdr:colOff>
      <xdr:row>14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32349034-4AF5-4CCE-ABA6-9E2E7516C2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47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12</xdr:col>
      <xdr:colOff>31750</xdr:colOff>
      <xdr:row>0</xdr:row>
      <xdr:rowOff>0</xdr:rowOff>
    </xdr:from>
    <xdr:to>
      <xdr:col>18</xdr:col>
      <xdr:colOff>31750</xdr:colOff>
      <xdr:row>14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116917A6-423A-4F56-B43C-074B734F11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7575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701675</xdr:colOff>
      <xdr:row>1</xdr:row>
      <xdr:rowOff>66675</xdr:rowOff>
    </xdr:from>
    <xdr:to>
      <xdr:col>12</xdr:col>
      <xdr:colOff>701675</xdr:colOff>
      <xdr:row>16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AF92F79-6D5C-4AA3-8008-2C5B76DBB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714375</xdr:colOff>
      <xdr:row>16</xdr:row>
      <xdr:rowOff>60325</xdr:rowOff>
    </xdr:from>
    <xdr:to>
      <xdr:col>12</xdr:col>
      <xdr:colOff>714375</xdr:colOff>
      <xdr:row>31</xdr:row>
      <xdr:rowOff>41275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F832813-843C-4902-96A5-61CB0FC53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3732-C3C8-4F82-B2DC-2939D3406301}">
  <dimension ref="A1:H46"/>
  <sheetViews>
    <sheetView tabSelected="1" workbookViewId="0"/>
  </sheetViews>
  <sheetFormatPr baseColWidth="10" defaultColWidth="10.90625" defaultRowHeight="14.5" x14ac:dyDescent="0.35"/>
  <cols>
    <col min="2" max="3" width="30.6328125" style="2" customWidth="1"/>
    <col min="4" max="4" width="10.90625" style="19"/>
    <col min="6" max="7" width="19.6328125" customWidth="1"/>
  </cols>
  <sheetData>
    <row r="1" spans="1:8" x14ac:dyDescent="0.35">
      <c r="A1" s="16" t="s">
        <v>23</v>
      </c>
      <c r="B1" s="17" t="s">
        <v>24</v>
      </c>
      <c r="C1" s="17" t="s">
        <v>25</v>
      </c>
    </row>
    <row r="2" spans="1:8" x14ac:dyDescent="0.35">
      <c r="A2" s="3">
        <v>1</v>
      </c>
      <c r="B2" s="2">
        <v>10</v>
      </c>
      <c r="C2" s="2">
        <v>11</v>
      </c>
    </row>
    <row r="3" spans="1:8" x14ac:dyDescent="0.35">
      <c r="A3" s="3">
        <f xml:space="preserve"> A2+1</f>
        <v>2</v>
      </c>
      <c r="B3" s="2">
        <v>12</v>
      </c>
      <c r="C3" s="2">
        <v>13</v>
      </c>
      <c r="F3" s="22"/>
    </row>
    <row r="4" spans="1:8" x14ac:dyDescent="0.35">
      <c r="A4" s="3">
        <f t="shared" ref="A4:A46" si="0" xml:space="preserve"> A3+1</f>
        <v>3</v>
      </c>
      <c r="B4" s="2">
        <v>11</v>
      </c>
      <c r="C4" s="2">
        <v>10</v>
      </c>
      <c r="F4" s="22" t="s">
        <v>33</v>
      </c>
    </row>
    <row r="5" spans="1:8" x14ac:dyDescent="0.35">
      <c r="A5" s="3">
        <f t="shared" si="0"/>
        <v>4</v>
      </c>
      <c r="B5" s="2">
        <v>9</v>
      </c>
      <c r="C5" s="2">
        <v>12</v>
      </c>
    </row>
    <row r="6" spans="1:8" x14ac:dyDescent="0.35">
      <c r="A6" s="3">
        <f t="shared" si="0"/>
        <v>5</v>
      </c>
      <c r="B6" s="2">
        <v>3</v>
      </c>
      <c r="C6" s="2">
        <v>6</v>
      </c>
      <c r="D6" s="20"/>
      <c r="F6" s="18" t="s">
        <v>0</v>
      </c>
      <c r="G6" s="4">
        <f xml:space="preserve"> MAX(B2:B46)</f>
        <v>19</v>
      </c>
    </row>
    <row r="7" spans="1:8" x14ac:dyDescent="0.35">
      <c r="A7" s="3">
        <f t="shared" si="0"/>
        <v>6</v>
      </c>
      <c r="B7" s="2">
        <v>5</v>
      </c>
      <c r="C7" s="2">
        <v>9</v>
      </c>
      <c r="D7" s="20"/>
      <c r="F7" s="18" t="s">
        <v>1</v>
      </c>
      <c r="G7" s="4">
        <f xml:space="preserve"> MIN(B2:B46)</f>
        <v>1</v>
      </c>
    </row>
    <row r="8" spans="1:8" x14ac:dyDescent="0.35">
      <c r="A8" s="3">
        <f t="shared" si="0"/>
        <v>7</v>
      </c>
      <c r="B8" s="2">
        <v>14</v>
      </c>
      <c r="C8" s="2">
        <v>15</v>
      </c>
      <c r="D8" s="20"/>
      <c r="F8" s="18" t="s">
        <v>26</v>
      </c>
      <c r="G8" s="4">
        <f xml:space="preserve"> QUARTILE(B2:B46,1)</f>
        <v>8</v>
      </c>
    </row>
    <row r="9" spans="1:8" x14ac:dyDescent="0.35">
      <c r="A9" s="3">
        <f t="shared" si="0"/>
        <v>8</v>
      </c>
      <c r="B9" s="2">
        <v>12</v>
      </c>
      <c r="C9" s="2">
        <v>12</v>
      </c>
      <c r="D9" s="20"/>
      <c r="F9" s="18" t="s">
        <v>27</v>
      </c>
      <c r="G9" s="4">
        <f>QUARTILE(B2:B46,2)</f>
        <v>11</v>
      </c>
    </row>
    <row r="10" spans="1:8" x14ac:dyDescent="0.35">
      <c r="A10" s="3">
        <f t="shared" si="0"/>
        <v>9</v>
      </c>
      <c r="B10" s="2">
        <v>11</v>
      </c>
      <c r="C10" s="2">
        <v>13</v>
      </c>
      <c r="D10" s="20"/>
      <c r="F10" s="18" t="s">
        <v>28</v>
      </c>
      <c r="G10" s="4">
        <f>QUARTILE(B2:B46,3)</f>
        <v>13</v>
      </c>
    </row>
    <row r="11" spans="1:8" x14ac:dyDescent="0.35">
      <c r="A11" s="3">
        <f t="shared" si="0"/>
        <v>10</v>
      </c>
      <c r="B11" s="2">
        <v>13</v>
      </c>
      <c r="C11" s="2">
        <v>12</v>
      </c>
      <c r="D11" s="20"/>
      <c r="F11" s="5" t="s">
        <v>29</v>
      </c>
      <c r="G11" s="4">
        <f xml:space="preserve"> G8 - 1.5*(G10 - G8)</f>
        <v>0.5</v>
      </c>
    </row>
    <row r="12" spans="1:8" x14ac:dyDescent="0.35">
      <c r="A12" s="3">
        <f t="shared" si="0"/>
        <v>11</v>
      </c>
      <c r="B12" s="2">
        <v>11</v>
      </c>
      <c r="C12" s="2">
        <v>10</v>
      </c>
      <c r="D12" s="20"/>
      <c r="F12" s="5" t="s">
        <v>30</v>
      </c>
      <c r="G12" s="4">
        <v>1</v>
      </c>
      <c r="H12" t="s">
        <v>35</v>
      </c>
    </row>
    <row r="13" spans="1:8" x14ac:dyDescent="0.35">
      <c r="A13" s="3">
        <f t="shared" si="0"/>
        <v>12</v>
      </c>
      <c r="B13" s="2">
        <v>8</v>
      </c>
      <c r="C13" s="2">
        <v>9</v>
      </c>
      <c r="D13" s="20"/>
      <c r="F13" s="5" t="s">
        <v>31</v>
      </c>
      <c r="G13" s="4">
        <f xml:space="preserve"> G10 + 1.5*(G10-G8)</f>
        <v>20.5</v>
      </c>
    </row>
    <row r="14" spans="1:8" x14ac:dyDescent="0.35">
      <c r="A14" s="3">
        <f t="shared" si="0"/>
        <v>13</v>
      </c>
      <c r="B14" s="2">
        <v>18</v>
      </c>
      <c r="C14" s="2">
        <v>19</v>
      </c>
      <c r="D14" s="20"/>
      <c r="F14" s="5" t="s">
        <v>32</v>
      </c>
      <c r="G14" s="4">
        <v>19</v>
      </c>
      <c r="H14" t="s">
        <v>36</v>
      </c>
    </row>
    <row r="15" spans="1:8" x14ac:dyDescent="0.35">
      <c r="A15" s="3">
        <f t="shared" si="0"/>
        <v>14</v>
      </c>
      <c r="B15" s="2">
        <v>9</v>
      </c>
      <c r="C15" s="2">
        <v>10</v>
      </c>
      <c r="D15" s="20"/>
    </row>
    <row r="16" spans="1:8" x14ac:dyDescent="0.35">
      <c r="A16" s="3">
        <f t="shared" si="0"/>
        <v>15</v>
      </c>
      <c r="B16" s="2">
        <v>10</v>
      </c>
      <c r="C16" s="2">
        <v>9</v>
      </c>
      <c r="D16" s="20"/>
      <c r="F16" s="24"/>
    </row>
    <row r="17" spans="1:8" x14ac:dyDescent="0.35">
      <c r="A17" s="3">
        <f t="shared" si="0"/>
        <v>16</v>
      </c>
      <c r="B17" s="2">
        <v>11</v>
      </c>
      <c r="C17" s="2">
        <v>12</v>
      </c>
      <c r="D17" s="20"/>
      <c r="F17" s="24" t="s">
        <v>34</v>
      </c>
    </row>
    <row r="18" spans="1:8" x14ac:dyDescent="0.35">
      <c r="A18" s="3">
        <f t="shared" si="0"/>
        <v>17</v>
      </c>
      <c r="B18" s="2">
        <v>12</v>
      </c>
      <c r="C18" s="2">
        <v>13</v>
      </c>
      <c r="D18" s="20"/>
    </row>
    <row r="19" spans="1:8" x14ac:dyDescent="0.35">
      <c r="A19" s="3">
        <f t="shared" si="0"/>
        <v>18</v>
      </c>
      <c r="B19" s="2">
        <v>3</v>
      </c>
      <c r="C19" s="2">
        <v>5</v>
      </c>
      <c r="D19" s="20"/>
      <c r="F19" s="18" t="s">
        <v>0</v>
      </c>
      <c r="G19" s="4">
        <f xml:space="preserve"> MAX(C2:C46)</f>
        <v>19</v>
      </c>
    </row>
    <row r="20" spans="1:8" x14ac:dyDescent="0.35">
      <c r="A20" s="3">
        <f t="shared" si="0"/>
        <v>19</v>
      </c>
      <c r="B20" s="2">
        <v>1</v>
      </c>
      <c r="C20" s="2">
        <v>5</v>
      </c>
      <c r="D20" s="20"/>
      <c r="F20" s="18" t="s">
        <v>1</v>
      </c>
      <c r="G20" s="4">
        <f xml:space="preserve"> MIN(C2:C46)</f>
        <v>5</v>
      </c>
    </row>
    <row r="21" spans="1:8" x14ac:dyDescent="0.35">
      <c r="A21" s="3">
        <f t="shared" si="0"/>
        <v>20</v>
      </c>
      <c r="B21" s="2">
        <v>2</v>
      </c>
      <c r="C21" s="2">
        <v>9</v>
      </c>
      <c r="F21" s="18" t="s">
        <v>26</v>
      </c>
      <c r="G21" s="4">
        <f xml:space="preserve"> QUARTILE(C2:C46, 1)</f>
        <v>10</v>
      </c>
    </row>
    <row r="22" spans="1:8" x14ac:dyDescent="0.35">
      <c r="A22" s="3">
        <f t="shared" si="0"/>
        <v>21</v>
      </c>
      <c r="B22" s="2">
        <v>5</v>
      </c>
      <c r="C22" s="2">
        <v>13</v>
      </c>
      <c r="F22" s="18" t="s">
        <v>27</v>
      </c>
      <c r="G22" s="4">
        <f xml:space="preserve"> QUARTILE(C2:C46,2)</f>
        <v>12</v>
      </c>
    </row>
    <row r="23" spans="1:8" x14ac:dyDescent="0.35">
      <c r="A23" s="3">
        <f t="shared" si="0"/>
        <v>22</v>
      </c>
      <c r="B23" s="2">
        <v>6</v>
      </c>
      <c r="C23" s="2">
        <v>12</v>
      </c>
      <c r="F23" s="18" t="s">
        <v>28</v>
      </c>
      <c r="G23" s="4">
        <f xml:space="preserve"> QUARTILE(C2:C46,3)</f>
        <v>13</v>
      </c>
    </row>
    <row r="24" spans="1:8" x14ac:dyDescent="0.35">
      <c r="A24" s="3">
        <f t="shared" si="0"/>
        <v>23</v>
      </c>
      <c r="B24" s="2">
        <v>9</v>
      </c>
      <c r="C24" s="2">
        <v>10</v>
      </c>
      <c r="F24" s="18" t="s">
        <v>29</v>
      </c>
      <c r="G24" s="4">
        <f xml:space="preserve"> G21 - 1.5*(G23-G21)</f>
        <v>5.5</v>
      </c>
    </row>
    <row r="25" spans="1:8" x14ac:dyDescent="0.35">
      <c r="A25" s="3">
        <f t="shared" si="0"/>
        <v>24</v>
      </c>
      <c r="B25" s="2">
        <v>13</v>
      </c>
      <c r="C25" s="2">
        <v>12</v>
      </c>
      <c r="F25" s="18" t="s">
        <v>30</v>
      </c>
      <c r="G25" s="4">
        <v>6</v>
      </c>
      <c r="H25" s="23" t="s">
        <v>37</v>
      </c>
    </row>
    <row r="26" spans="1:8" x14ac:dyDescent="0.35">
      <c r="A26" s="3">
        <f t="shared" si="0"/>
        <v>25</v>
      </c>
      <c r="B26" s="2">
        <v>19</v>
      </c>
      <c r="C26" s="2">
        <v>17</v>
      </c>
      <c r="F26" s="18" t="s">
        <v>31</v>
      </c>
      <c r="G26" s="4">
        <f xml:space="preserve"> G23 + 1.5*(G23-G21)</f>
        <v>17.5</v>
      </c>
      <c r="H26" s="23"/>
    </row>
    <row r="27" spans="1:8" x14ac:dyDescent="0.35">
      <c r="A27" s="3">
        <f t="shared" si="0"/>
        <v>26</v>
      </c>
      <c r="B27" s="2">
        <v>12</v>
      </c>
      <c r="C27" s="2">
        <v>12</v>
      </c>
      <c r="F27" s="18" t="s">
        <v>32</v>
      </c>
      <c r="G27" s="4">
        <v>17</v>
      </c>
      <c r="H27" s="23" t="s">
        <v>38</v>
      </c>
    </row>
    <row r="28" spans="1:8" x14ac:dyDescent="0.35">
      <c r="A28" s="3">
        <f t="shared" si="0"/>
        <v>27</v>
      </c>
      <c r="B28" s="2">
        <v>11</v>
      </c>
      <c r="C28" s="2">
        <v>11</v>
      </c>
    </row>
    <row r="29" spans="1:8" x14ac:dyDescent="0.35">
      <c r="A29" s="3">
        <f t="shared" si="0"/>
        <v>28</v>
      </c>
      <c r="B29" s="2">
        <v>10</v>
      </c>
      <c r="C29" s="2">
        <v>14</v>
      </c>
    </row>
    <row r="30" spans="1:8" x14ac:dyDescent="0.35">
      <c r="A30" s="3">
        <f t="shared" si="0"/>
        <v>29</v>
      </c>
      <c r="B30" s="2">
        <v>13</v>
      </c>
      <c r="C30" s="2">
        <v>12</v>
      </c>
    </row>
    <row r="31" spans="1:8" x14ac:dyDescent="0.35">
      <c r="A31" s="3">
        <f t="shared" si="0"/>
        <v>30</v>
      </c>
      <c r="B31" s="2">
        <v>16</v>
      </c>
      <c r="C31" s="2">
        <v>17</v>
      </c>
    </row>
    <row r="32" spans="1:8" x14ac:dyDescent="0.35">
      <c r="A32" s="3">
        <f t="shared" si="0"/>
        <v>31</v>
      </c>
      <c r="B32" s="2">
        <v>13</v>
      </c>
      <c r="C32" s="2">
        <v>16</v>
      </c>
    </row>
    <row r="33" spans="1:3" x14ac:dyDescent="0.35">
      <c r="A33" s="3">
        <f t="shared" si="0"/>
        <v>32</v>
      </c>
      <c r="B33" s="2">
        <v>15</v>
      </c>
      <c r="C33" s="2">
        <v>17</v>
      </c>
    </row>
    <row r="34" spans="1:3" x14ac:dyDescent="0.35">
      <c r="A34" s="3">
        <f t="shared" si="0"/>
        <v>33</v>
      </c>
      <c r="B34" s="2">
        <v>5</v>
      </c>
      <c r="C34" s="2">
        <v>10</v>
      </c>
    </row>
    <row r="35" spans="1:3" x14ac:dyDescent="0.35">
      <c r="A35" s="3">
        <f t="shared" si="0"/>
        <v>34</v>
      </c>
      <c r="B35" s="2">
        <v>4</v>
      </c>
      <c r="C35" s="2">
        <v>9</v>
      </c>
    </row>
    <row r="36" spans="1:3" x14ac:dyDescent="0.35">
      <c r="A36" s="3">
        <f t="shared" si="0"/>
        <v>35</v>
      </c>
      <c r="B36" s="2">
        <v>12</v>
      </c>
      <c r="C36" s="2">
        <v>11</v>
      </c>
    </row>
    <row r="37" spans="1:3" x14ac:dyDescent="0.35">
      <c r="A37" s="3">
        <f t="shared" si="0"/>
        <v>36</v>
      </c>
      <c r="B37" s="2">
        <v>15</v>
      </c>
      <c r="C37" s="2">
        <v>15</v>
      </c>
    </row>
    <row r="38" spans="1:3" x14ac:dyDescent="0.35">
      <c r="A38" s="3">
        <f t="shared" si="0"/>
        <v>37</v>
      </c>
      <c r="B38" s="2">
        <v>13</v>
      </c>
      <c r="C38" s="2">
        <v>14</v>
      </c>
    </row>
    <row r="39" spans="1:3" x14ac:dyDescent="0.35">
      <c r="A39" s="3">
        <f t="shared" si="0"/>
        <v>38</v>
      </c>
      <c r="B39" s="2">
        <v>12</v>
      </c>
      <c r="C39" s="2">
        <v>13</v>
      </c>
    </row>
    <row r="40" spans="1:3" x14ac:dyDescent="0.35">
      <c r="A40" s="3">
        <f t="shared" si="0"/>
        <v>39</v>
      </c>
      <c r="B40" s="2">
        <v>13</v>
      </c>
      <c r="C40" s="2">
        <v>10</v>
      </c>
    </row>
    <row r="41" spans="1:3" x14ac:dyDescent="0.35">
      <c r="A41" s="3">
        <f t="shared" si="0"/>
        <v>40</v>
      </c>
      <c r="B41" s="2">
        <v>6</v>
      </c>
      <c r="C41" s="2">
        <v>10</v>
      </c>
    </row>
    <row r="42" spans="1:3" x14ac:dyDescent="0.35">
      <c r="A42" s="3">
        <f t="shared" si="0"/>
        <v>41</v>
      </c>
      <c r="B42" s="2">
        <v>8</v>
      </c>
      <c r="C42" s="2">
        <v>9</v>
      </c>
    </row>
    <row r="43" spans="1:3" x14ac:dyDescent="0.35">
      <c r="A43" s="3">
        <f t="shared" si="0"/>
        <v>42</v>
      </c>
      <c r="B43" s="2">
        <v>9</v>
      </c>
      <c r="C43" s="2">
        <v>10</v>
      </c>
    </row>
    <row r="44" spans="1:3" x14ac:dyDescent="0.35">
      <c r="A44" s="3">
        <f t="shared" si="0"/>
        <v>43</v>
      </c>
      <c r="B44" s="2">
        <v>11</v>
      </c>
      <c r="C44" s="2">
        <v>14</v>
      </c>
    </row>
    <row r="45" spans="1:3" x14ac:dyDescent="0.35">
      <c r="A45" s="3">
        <f t="shared" si="0"/>
        <v>44</v>
      </c>
      <c r="B45" s="2">
        <v>8</v>
      </c>
      <c r="C45" s="2">
        <v>12</v>
      </c>
    </row>
    <row r="46" spans="1:3" x14ac:dyDescent="0.35">
      <c r="A46" s="3">
        <f t="shared" si="0"/>
        <v>45</v>
      </c>
      <c r="B46" s="2">
        <v>15</v>
      </c>
      <c r="C46" s="2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C48B-AC82-477B-9356-FF321FC25475}">
  <dimension ref="A1"/>
  <sheetViews>
    <sheetView topLeftCell="G1" workbookViewId="0">
      <selection activeCell="G17" sqref="G17"/>
    </sheetView>
  </sheetViews>
  <sheetFormatPr baseColWidth="10" defaultColWidth="10.90625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47A0-E407-43BC-A215-8BFCAA8D5CDC}">
  <dimension ref="A1:K45"/>
  <sheetViews>
    <sheetView zoomScale="90" zoomScaleNormal="90" workbookViewId="0">
      <selection activeCell="F36" sqref="F36"/>
    </sheetView>
  </sheetViews>
  <sheetFormatPr baseColWidth="10" defaultColWidth="10.90625" defaultRowHeight="14.5" x14ac:dyDescent="0.35"/>
  <cols>
    <col min="1" max="1" width="27.6328125" customWidth="1"/>
    <col min="2" max="2" width="22.6328125" customWidth="1"/>
    <col min="6" max="6" width="27.6328125" customWidth="1"/>
    <col min="7" max="7" width="22.6328125" customWidth="1"/>
  </cols>
  <sheetData>
    <row r="1" spans="1:11" x14ac:dyDescent="0.35">
      <c r="A1" s="26" t="s">
        <v>24</v>
      </c>
      <c r="B1" s="28" t="s">
        <v>41</v>
      </c>
      <c r="D1" s="25"/>
      <c r="F1" s="34" t="s">
        <v>42</v>
      </c>
    </row>
    <row r="2" spans="1:11" x14ac:dyDescent="0.35">
      <c r="A2" s="27" t="s">
        <v>39</v>
      </c>
      <c r="B2" s="6">
        <v>5</v>
      </c>
      <c r="D2" s="25"/>
      <c r="F2" s="33"/>
    </row>
    <row r="3" spans="1:11" x14ac:dyDescent="0.35">
      <c r="A3" s="27" t="s">
        <v>2</v>
      </c>
      <c r="B3" s="6">
        <v>10</v>
      </c>
      <c r="D3" s="25"/>
      <c r="F3" s="36" t="s">
        <v>24</v>
      </c>
      <c r="G3" s="35" t="s">
        <v>41</v>
      </c>
      <c r="H3" s="5" t="s">
        <v>3</v>
      </c>
      <c r="I3" s="5" t="s">
        <v>4</v>
      </c>
      <c r="J3" s="5" t="s">
        <v>5</v>
      </c>
      <c r="K3" s="5" t="s">
        <v>6</v>
      </c>
    </row>
    <row r="4" spans="1:11" x14ac:dyDescent="0.35">
      <c r="A4" s="27" t="s">
        <v>7</v>
      </c>
      <c r="B4" s="6">
        <v>6</v>
      </c>
      <c r="D4" s="25"/>
      <c r="F4" s="37" t="s">
        <v>39</v>
      </c>
      <c r="G4" s="6">
        <v>5</v>
      </c>
      <c r="H4" s="12">
        <v>2</v>
      </c>
      <c r="I4" s="6">
        <f>G4/$G$10</f>
        <v>0.1111111111111111</v>
      </c>
      <c r="J4" s="6">
        <f xml:space="preserve"> G4</f>
        <v>5</v>
      </c>
      <c r="K4" s="6">
        <f xml:space="preserve"> J4/$G$10</f>
        <v>0.1111111111111111</v>
      </c>
    </row>
    <row r="5" spans="1:11" x14ac:dyDescent="0.35">
      <c r="A5" s="27" t="s">
        <v>8</v>
      </c>
      <c r="B5" s="6">
        <v>12</v>
      </c>
      <c r="D5" s="25"/>
      <c r="F5" s="37" t="s">
        <v>2</v>
      </c>
      <c r="G5" s="6">
        <v>10</v>
      </c>
      <c r="H5" s="6">
        <v>2</v>
      </c>
      <c r="I5" s="6">
        <f t="shared" ref="I5:I9" si="0">G5/$G$10</f>
        <v>0.22222222222222221</v>
      </c>
      <c r="J5" s="6">
        <f xml:space="preserve"> G5+J4</f>
        <v>15</v>
      </c>
      <c r="K5" s="6">
        <f t="shared" ref="K5:K9" si="1" xml:space="preserve"> J5/$G$10</f>
        <v>0.33333333333333331</v>
      </c>
    </row>
    <row r="6" spans="1:11" x14ac:dyDescent="0.35">
      <c r="A6" s="27" t="s">
        <v>9</v>
      </c>
      <c r="B6" s="6">
        <v>9</v>
      </c>
      <c r="D6" s="25"/>
      <c r="F6" s="37" t="s">
        <v>7</v>
      </c>
      <c r="G6" s="6">
        <v>6</v>
      </c>
      <c r="H6" s="6">
        <v>3</v>
      </c>
      <c r="I6" s="6">
        <f t="shared" si="0"/>
        <v>0.13333333333333333</v>
      </c>
      <c r="J6" s="6">
        <f t="shared" ref="J6:J9" si="2" xml:space="preserve"> G6+J5</f>
        <v>21</v>
      </c>
      <c r="K6" s="6">
        <f t="shared" si="1"/>
        <v>0.46666666666666667</v>
      </c>
    </row>
    <row r="7" spans="1:11" x14ac:dyDescent="0.35">
      <c r="A7" s="27" t="s">
        <v>40</v>
      </c>
      <c r="B7" s="6">
        <v>3</v>
      </c>
      <c r="D7" s="25"/>
      <c r="F7" s="37" t="s">
        <v>8</v>
      </c>
      <c r="G7" s="6">
        <v>12</v>
      </c>
      <c r="H7" s="6">
        <v>4</v>
      </c>
      <c r="I7" s="6">
        <f t="shared" si="0"/>
        <v>0.26666666666666666</v>
      </c>
      <c r="J7" s="6">
        <f t="shared" si="2"/>
        <v>33</v>
      </c>
      <c r="K7" s="6">
        <f t="shared" si="1"/>
        <v>0.73333333333333328</v>
      </c>
    </row>
    <row r="8" spans="1:11" x14ac:dyDescent="0.35">
      <c r="F8" s="37" t="s">
        <v>9</v>
      </c>
      <c r="G8" s="6">
        <v>9</v>
      </c>
      <c r="H8" s="6">
        <v>4</v>
      </c>
      <c r="I8" s="6">
        <f t="shared" si="0"/>
        <v>0.2</v>
      </c>
      <c r="J8" s="6">
        <f t="shared" si="2"/>
        <v>42</v>
      </c>
      <c r="K8" s="6">
        <f t="shared" si="1"/>
        <v>0.93333333333333335</v>
      </c>
    </row>
    <row r="9" spans="1:11" x14ac:dyDescent="0.35">
      <c r="F9" s="37" t="s">
        <v>40</v>
      </c>
      <c r="G9" s="6">
        <v>3</v>
      </c>
      <c r="H9" s="12">
        <v>2</v>
      </c>
      <c r="I9" s="6">
        <f t="shared" si="0"/>
        <v>6.6666666666666666E-2</v>
      </c>
      <c r="J9" s="6">
        <f t="shared" si="2"/>
        <v>45</v>
      </c>
      <c r="K9" s="6">
        <f t="shared" si="1"/>
        <v>1</v>
      </c>
    </row>
    <row r="10" spans="1:11" x14ac:dyDescent="0.35">
      <c r="D10" s="29"/>
      <c r="F10" s="7" t="s">
        <v>10</v>
      </c>
      <c r="G10" s="8">
        <f xml:space="preserve"> SUM(G4:G9)</f>
        <v>45</v>
      </c>
      <c r="H10" s="9"/>
      <c r="I10" s="9">
        <f xml:space="preserve"> SUM(I4:I9)</f>
        <v>1</v>
      </c>
      <c r="J10" s="9"/>
      <c r="K10" s="9"/>
    </row>
    <row r="11" spans="1:11" x14ac:dyDescent="0.35">
      <c r="A11" s="31" t="s">
        <v>25</v>
      </c>
      <c r="B11" s="30" t="s">
        <v>41</v>
      </c>
      <c r="D11" s="29"/>
    </row>
    <row r="12" spans="1:11" x14ac:dyDescent="0.35">
      <c r="A12" s="32" t="s">
        <v>39</v>
      </c>
      <c r="B12" s="6">
        <v>3</v>
      </c>
      <c r="D12" s="29"/>
    </row>
    <row r="13" spans="1:11" x14ac:dyDescent="0.35">
      <c r="A13" s="32" t="s">
        <v>2</v>
      </c>
      <c r="B13" s="6">
        <v>8</v>
      </c>
      <c r="D13" s="29"/>
      <c r="F13" s="21" t="s">
        <v>43</v>
      </c>
    </row>
    <row r="14" spans="1:11" x14ac:dyDescent="0.35">
      <c r="A14" s="32" t="s">
        <v>7</v>
      </c>
      <c r="B14" s="6">
        <v>9</v>
      </c>
      <c r="D14" s="29"/>
    </row>
    <row r="15" spans="1:11" x14ac:dyDescent="0.35">
      <c r="A15" s="32" t="s">
        <v>8</v>
      </c>
      <c r="B15" s="6">
        <v>13</v>
      </c>
      <c r="D15" s="29"/>
      <c r="E15" s="33"/>
      <c r="F15" s="10" t="s">
        <v>44</v>
      </c>
      <c r="G15" s="11">
        <v>6.25</v>
      </c>
    </row>
    <row r="16" spans="1:11" x14ac:dyDescent="0.35">
      <c r="A16" s="32" t="s">
        <v>9</v>
      </c>
      <c r="B16" s="6">
        <v>10</v>
      </c>
      <c r="D16" s="29"/>
      <c r="E16" s="33"/>
      <c r="F16" s="10" t="s">
        <v>45</v>
      </c>
      <c r="G16" s="11">
        <v>10.5</v>
      </c>
    </row>
    <row r="17" spans="1:11" x14ac:dyDescent="0.35">
      <c r="A17" s="32" t="s">
        <v>40</v>
      </c>
      <c r="B17" s="6">
        <v>2</v>
      </c>
      <c r="D17" s="29"/>
      <c r="E17" s="33"/>
      <c r="F17" s="10" t="s">
        <v>46</v>
      </c>
      <c r="G17" s="11">
        <v>14.333333333333334</v>
      </c>
    </row>
    <row r="18" spans="1:11" x14ac:dyDescent="0.35">
      <c r="D18" s="29"/>
      <c r="E18" s="33"/>
      <c r="F18" s="10" t="s">
        <v>47</v>
      </c>
      <c r="G18" s="11">
        <v>-5.875</v>
      </c>
    </row>
    <row r="19" spans="1:11" x14ac:dyDescent="0.35">
      <c r="E19" s="33"/>
      <c r="F19" s="10" t="s">
        <v>48</v>
      </c>
      <c r="G19" s="11">
        <v>26.458333333333336</v>
      </c>
    </row>
    <row r="20" spans="1:11" x14ac:dyDescent="0.35">
      <c r="E20" s="33"/>
      <c r="F20" s="10" t="s">
        <v>49</v>
      </c>
      <c r="G20" s="11">
        <v>3</v>
      </c>
      <c r="H20" t="s">
        <v>51</v>
      </c>
    </row>
    <row r="21" spans="1:11" x14ac:dyDescent="0.35">
      <c r="E21" s="33"/>
      <c r="F21" s="10" t="s">
        <v>50</v>
      </c>
      <c r="G21" s="11">
        <v>20</v>
      </c>
      <c r="H21" t="s">
        <v>52</v>
      </c>
    </row>
    <row r="24" spans="1:11" x14ac:dyDescent="0.35">
      <c r="F24" s="1" t="s">
        <v>54</v>
      </c>
    </row>
    <row r="26" spans="1:11" x14ac:dyDescent="0.35">
      <c r="F26" s="36" t="s">
        <v>25</v>
      </c>
      <c r="G26" s="35" t="s">
        <v>41</v>
      </c>
      <c r="H26" s="5" t="s">
        <v>3</v>
      </c>
      <c r="I26" s="5" t="s">
        <v>4</v>
      </c>
      <c r="J26" s="5" t="s">
        <v>5</v>
      </c>
      <c r="K26" s="5" t="s">
        <v>6</v>
      </c>
    </row>
    <row r="27" spans="1:11" x14ac:dyDescent="0.35">
      <c r="F27" s="37" t="s">
        <v>39</v>
      </c>
      <c r="G27" s="6">
        <v>3</v>
      </c>
      <c r="H27" s="12">
        <v>2</v>
      </c>
      <c r="I27" s="6">
        <f xml:space="preserve"> G27/$G$33</f>
        <v>6.6666666666666666E-2</v>
      </c>
      <c r="J27" s="6">
        <f>G27</f>
        <v>3</v>
      </c>
      <c r="K27" s="6">
        <f xml:space="preserve"> J27/$G$33</f>
        <v>6.6666666666666666E-2</v>
      </c>
    </row>
    <row r="28" spans="1:11" x14ac:dyDescent="0.35">
      <c r="F28" s="37" t="s">
        <v>2</v>
      </c>
      <c r="G28" s="6">
        <v>8</v>
      </c>
      <c r="H28" s="6">
        <v>2</v>
      </c>
      <c r="I28" s="6">
        <f t="shared" ref="I28:I32" si="3" xml:space="preserve"> G28/$G$33</f>
        <v>0.17777777777777778</v>
      </c>
      <c r="J28" s="6">
        <f>G28+J27</f>
        <v>11</v>
      </c>
      <c r="K28" s="6">
        <f t="shared" ref="K28:K32" si="4" xml:space="preserve"> J28/$G$33</f>
        <v>0.24444444444444444</v>
      </c>
    </row>
    <row r="29" spans="1:11" x14ac:dyDescent="0.35">
      <c r="F29" s="37" t="s">
        <v>7</v>
      </c>
      <c r="G29" s="6">
        <v>9</v>
      </c>
      <c r="H29" s="6">
        <v>3</v>
      </c>
      <c r="I29" s="6">
        <f t="shared" si="3"/>
        <v>0.2</v>
      </c>
      <c r="J29" s="6">
        <f t="shared" ref="J29:J32" si="5">G29+J28</f>
        <v>20</v>
      </c>
      <c r="K29" s="6">
        <f t="shared" si="4"/>
        <v>0.44444444444444442</v>
      </c>
    </row>
    <row r="30" spans="1:11" x14ac:dyDescent="0.35">
      <c r="F30" s="37" t="s">
        <v>8</v>
      </c>
      <c r="G30" s="6">
        <v>13</v>
      </c>
      <c r="H30" s="6">
        <v>4</v>
      </c>
      <c r="I30" s="6">
        <f t="shared" si="3"/>
        <v>0.28888888888888886</v>
      </c>
      <c r="J30" s="6">
        <f t="shared" si="5"/>
        <v>33</v>
      </c>
      <c r="K30" s="6">
        <f t="shared" si="4"/>
        <v>0.73333333333333328</v>
      </c>
    </row>
    <row r="31" spans="1:11" x14ac:dyDescent="0.35">
      <c r="F31" s="37" t="s">
        <v>9</v>
      </c>
      <c r="G31" s="6">
        <v>10</v>
      </c>
      <c r="H31" s="6">
        <v>4</v>
      </c>
      <c r="I31" s="6">
        <f t="shared" si="3"/>
        <v>0.22222222222222221</v>
      </c>
      <c r="J31" s="6">
        <f t="shared" si="5"/>
        <v>43</v>
      </c>
      <c r="K31" s="6">
        <f t="shared" si="4"/>
        <v>0.9555555555555556</v>
      </c>
    </row>
    <row r="32" spans="1:11" x14ac:dyDescent="0.35">
      <c r="F32" s="37" t="s">
        <v>40</v>
      </c>
      <c r="G32" s="6">
        <v>2</v>
      </c>
      <c r="H32" s="12">
        <v>2</v>
      </c>
      <c r="I32" s="6">
        <f t="shared" si="3"/>
        <v>4.4444444444444446E-2</v>
      </c>
      <c r="J32" s="6">
        <f t="shared" si="5"/>
        <v>45</v>
      </c>
      <c r="K32" s="6">
        <f t="shared" si="4"/>
        <v>1</v>
      </c>
    </row>
    <row r="33" spans="5:11" x14ac:dyDescent="0.35">
      <c r="F33" s="7" t="s">
        <v>10</v>
      </c>
      <c r="G33" s="8">
        <f xml:space="preserve"> SUM(G27:G32)</f>
        <v>45</v>
      </c>
      <c r="H33" s="9"/>
      <c r="I33" s="9">
        <f xml:space="preserve"> SUM(I27:I32)</f>
        <v>1</v>
      </c>
      <c r="J33" s="9"/>
      <c r="K33" s="9"/>
    </row>
    <row r="36" spans="5:11" x14ac:dyDescent="0.35">
      <c r="F36" s="21" t="s">
        <v>53</v>
      </c>
    </row>
    <row r="38" spans="5:11" x14ac:dyDescent="0.35">
      <c r="E38" s="33"/>
      <c r="F38" s="10" t="s">
        <v>44</v>
      </c>
      <c r="G38" s="11">
        <v>7.083333333333333</v>
      </c>
    </row>
    <row r="39" spans="5:11" x14ac:dyDescent="0.35">
      <c r="E39" s="33"/>
      <c r="F39" s="10" t="s">
        <v>45</v>
      </c>
      <c r="G39" s="11">
        <v>10.76923076923077</v>
      </c>
    </row>
    <row r="40" spans="5:11" x14ac:dyDescent="0.35">
      <c r="E40" s="33"/>
      <c r="F40" s="10" t="s">
        <v>46</v>
      </c>
      <c r="G40" s="11">
        <v>14.3</v>
      </c>
    </row>
    <row r="41" spans="5:11" x14ac:dyDescent="0.35">
      <c r="E41" s="33"/>
      <c r="F41" s="10" t="s">
        <v>47</v>
      </c>
      <c r="G41" s="11">
        <v>-3.741666666666668</v>
      </c>
    </row>
    <row r="42" spans="5:11" x14ac:dyDescent="0.35">
      <c r="E42" s="33"/>
      <c r="F42" s="10" t="s">
        <v>48</v>
      </c>
      <c r="G42" s="11">
        <v>25.125</v>
      </c>
    </row>
    <row r="43" spans="5:11" x14ac:dyDescent="0.35">
      <c r="E43" s="33"/>
      <c r="F43" s="10" t="s">
        <v>49</v>
      </c>
      <c r="G43" s="11">
        <v>3</v>
      </c>
      <c r="H43" s="33" t="s">
        <v>51</v>
      </c>
    </row>
    <row r="44" spans="5:11" x14ac:dyDescent="0.35">
      <c r="E44" s="33"/>
      <c r="F44" s="10" t="s">
        <v>50</v>
      </c>
      <c r="G44" s="11">
        <v>20</v>
      </c>
      <c r="H44" s="33" t="s">
        <v>52</v>
      </c>
    </row>
    <row r="45" spans="5:11" x14ac:dyDescent="0.35">
      <c r="E45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D1CC-592F-4A5C-AFAE-9307BBEF5EEF}">
  <dimension ref="A1:E26"/>
  <sheetViews>
    <sheetView topLeftCell="C1" workbookViewId="0">
      <selection activeCell="E9" sqref="E9"/>
    </sheetView>
  </sheetViews>
  <sheetFormatPr baseColWidth="10" defaultColWidth="10.90625" defaultRowHeight="14.5" x14ac:dyDescent="0.35"/>
  <cols>
    <col min="1" max="1" width="25.6328125" customWidth="1"/>
  </cols>
  <sheetData>
    <row r="1" spans="1:5" x14ac:dyDescent="0.35">
      <c r="A1" s="10" t="s">
        <v>11</v>
      </c>
      <c r="B1" s="11">
        <v>6.25</v>
      </c>
      <c r="D1" s="13" t="s">
        <v>18</v>
      </c>
      <c r="E1" s="14">
        <f>B6</f>
        <v>3</v>
      </c>
    </row>
    <row r="2" spans="1:5" x14ac:dyDescent="0.35">
      <c r="A2" s="10" t="s">
        <v>12</v>
      </c>
      <c r="B2" s="11">
        <v>10.5</v>
      </c>
      <c r="D2" s="13" t="s">
        <v>19</v>
      </c>
      <c r="E2" s="14">
        <f xml:space="preserve"> B1-B6</f>
        <v>3.25</v>
      </c>
    </row>
    <row r="3" spans="1:5" x14ac:dyDescent="0.35">
      <c r="A3" s="10" t="s">
        <v>13</v>
      </c>
      <c r="B3" s="11">
        <v>14.333333333333334</v>
      </c>
      <c r="D3" s="13" t="s">
        <v>20</v>
      </c>
      <c r="E3" s="14">
        <f xml:space="preserve"> B2-B1</f>
        <v>4.25</v>
      </c>
    </row>
    <row r="4" spans="1:5" x14ac:dyDescent="0.35">
      <c r="A4" s="10" t="s">
        <v>14</v>
      </c>
      <c r="B4" s="11">
        <v>-5.875</v>
      </c>
      <c r="D4" s="13" t="s">
        <v>21</v>
      </c>
      <c r="E4" s="14">
        <f xml:space="preserve"> B3-B2</f>
        <v>3.8333333333333339</v>
      </c>
    </row>
    <row r="5" spans="1:5" x14ac:dyDescent="0.35">
      <c r="A5" s="10" t="s">
        <v>15</v>
      </c>
      <c r="B5" s="11">
        <v>26.458333333333336</v>
      </c>
      <c r="D5" s="13" t="s">
        <v>22</v>
      </c>
      <c r="E5" s="14">
        <f xml:space="preserve"> B7 - B3</f>
        <v>5.6666666666666661</v>
      </c>
    </row>
    <row r="6" spans="1:5" x14ac:dyDescent="0.35">
      <c r="A6" s="10" t="s">
        <v>17</v>
      </c>
      <c r="B6" s="11">
        <v>3</v>
      </c>
    </row>
    <row r="7" spans="1:5" x14ac:dyDescent="0.35">
      <c r="A7" s="10" t="s">
        <v>16</v>
      </c>
      <c r="B7" s="11">
        <v>20</v>
      </c>
    </row>
    <row r="20" spans="1:5" x14ac:dyDescent="0.35">
      <c r="A20" s="10" t="s">
        <v>11</v>
      </c>
      <c r="B20" s="11">
        <v>7.083333333333333</v>
      </c>
      <c r="D20" s="13" t="s">
        <v>18</v>
      </c>
      <c r="E20" s="15">
        <f xml:space="preserve"> B25</f>
        <v>3</v>
      </c>
    </row>
    <row r="21" spans="1:5" x14ac:dyDescent="0.35">
      <c r="A21" s="10" t="s">
        <v>12</v>
      </c>
      <c r="B21" s="11">
        <v>10.76923076923077</v>
      </c>
      <c r="D21" s="13" t="s">
        <v>19</v>
      </c>
      <c r="E21" s="15">
        <f xml:space="preserve"> B20 - B25</f>
        <v>4.083333333333333</v>
      </c>
    </row>
    <row r="22" spans="1:5" x14ac:dyDescent="0.35">
      <c r="A22" s="10" t="s">
        <v>13</v>
      </c>
      <c r="B22" s="11">
        <v>14.3</v>
      </c>
      <c r="D22" s="13" t="s">
        <v>20</v>
      </c>
      <c r="E22" s="15">
        <f xml:space="preserve"> B21 - B20</f>
        <v>3.685897435897437</v>
      </c>
    </row>
    <row r="23" spans="1:5" x14ac:dyDescent="0.35">
      <c r="A23" s="10" t="s">
        <v>14</v>
      </c>
      <c r="B23" s="11">
        <v>-3.741666666666668</v>
      </c>
      <c r="D23" s="13" t="s">
        <v>21</v>
      </c>
      <c r="E23" s="15">
        <f xml:space="preserve"> B22 - B21</f>
        <v>3.5307692307692307</v>
      </c>
    </row>
    <row r="24" spans="1:5" x14ac:dyDescent="0.35">
      <c r="A24" s="10" t="s">
        <v>15</v>
      </c>
      <c r="B24" s="11">
        <v>25.125</v>
      </c>
      <c r="D24" s="13" t="s">
        <v>22</v>
      </c>
      <c r="E24" s="15">
        <f xml:space="preserve"> B26 - B22</f>
        <v>5.6999999999999993</v>
      </c>
    </row>
    <row r="25" spans="1:5" x14ac:dyDescent="0.35">
      <c r="A25" s="10" t="s">
        <v>17</v>
      </c>
      <c r="B25" s="11">
        <v>3</v>
      </c>
    </row>
    <row r="26" spans="1:5" x14ac:dyDescent="0.35">
      <c r="A26" s="10" t="s">
        <v>16</v>
      </c>
      <c r="B26" s="11">
        <v>20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3FC3B7-D21F-453B-A399-887DE1E4906F}"/>
</file>

<file path=customXml/itemProps2.xml><?xml version="1.0" encoding="utf-8"?>
<ds:datastoreItem xmlns:ds="http://schemas.openxmlformats.org/officeDocument/2006/customXml" ds:itemID="{1E3298D3-4F7A-4162-9154-CD7E107DF513}"/>
</file>

<file path=customXml/itemProps3.xml><?xml version="1.0" encoding="utf-8"?>
<ds:datastoreItem xmlns:ds="http://schemas.openxmlformats.org/officeDocument/2006/customXml" ds:itemID="{FB55FBEA-B70C-433D-ADAC-985E778A5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Semester 1</vt:lpstr>
      <vt:lpstr>Graphs - S1</vt:lpstr>
      <vt:lpstr>Semester 2</vt:lpstr>
      <vt:lpstr>Graphs -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2021-10-20T14:23:09Z</dcterms:created>
  <dcterms:modified xsi:type="dcterms:W3CDTF">2021-11-09T17:23:35Z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